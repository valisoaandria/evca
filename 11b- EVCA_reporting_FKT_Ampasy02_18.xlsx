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User\Desktop\Nouveau dossier\pmer DOC JC\RAPPORT EVCA\RAPPORT EVCA par FKT\"/>
    </mc:Choice>
  </mc:AlternateContent>
  <xr:revisionPtr revIDLastSave="0" documentId="13_ncr:1_{1957D25E-BBDB-4FC9-80D6-E1CD589D9779}" xr6:coauthVersionLast="47" xr6:coauthVersionMax="47" xr10:uidLastSave="{00000000-0000-0000-0000-000000000000}"/>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 name="_xlnm.Print_Area" localSheetId="0">'1. Résumé'!$A$1:$H$79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V64" i="5" l="1"/>
  <c r="W20" i="3" l="1"/>
  <c r="E4" i="10"/>
  <c r="E51" i="2" l="1"/>
  <c r="E47" i="2"/>
  <c r="E75" i="2"/>
  <c r="E61" i="2"/>
  <c r="E6" i="3"/>
  <c r="C42" i="8" l="1"/>
  <c r="C27" i="8"/>
  <c r="C12" i="8"/>
  <c r="C44" i="6"/>
  <c r="C30" i="6"/>
  <c r="C16" i="6"/>
  <c r="C54" i="5"/>
  <c r="C40" i="5"/>
  <c r="C24" i="5"/>
  <c r="C67" i="2" l="1"/>
  <c r="C53" i="2"/>
  <c r="I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M16" i="8" s="1"/>
  <c r="V29" i="5"/>
  <c r="H15" i="8" s="1"/>
  <c r="R5" i="5"/>
  <c r="K5" i="5"/>
  <c r="E5" i="5"/>
  <c r="AA5" i="4"/>
  <c r="R5" i="4"/>
  <c r="K5" i="4"/>
  <c r="E5" i="4"/>
  <c r="AA4" i="4"/>
  <c r="AA3" i="4"/>
  <c r="AA2" i="4"/>
  <c r="W26" i="3"/>
  <c r="S24" i="3"/>
  <c r="O24" i="3"/>
  <c r="K24" i="3"/>
  <c r="G24" i="3"/>
  <c r="V27" i="3"/>
  <c r="U27" i="3"/>
  <c r="S20" i="3"/>
  <c r="R22" i="3" s="1"/>
  <c r="O20" i="3"/>
  <c r="N22" i="3" s="1"/>
  <c r="K20" i="3"/>
  <c r="J22" i="3" s="1"/>
  <c r="G20" i="3"/>
  <c r="F22" i="3" s="1"/>
  <c r="C39" i="2"/>
  <c r="M52" i="8" l="1"/>
  <c r="M22"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P42" i="6" l="1"/>
  <c r="M56" i="6"/>
  <c r="P56" i="6" s="1"/>
  <c r="V22" i="3"/>
  <c r="U22" i="3"/>
  <c r="W27" i="3"/>
  <c r="W22" i="3" l="1"/>
</calcChain>
</file>

<file path=xl/sharedStrings.xml><?xml version="1.0" encoding="utf-8"?>
<sst xmlns="http://schemas.openxmlformats.org/spreadsheetml/2006/main" count="735" uniqueCount="358">
  <si>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</si>
  <si>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</si>
  <si>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</si>
  <si>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</si>
  <si>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</si>
  <si>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</si>
  <si>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</si>
  <si>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</si>
  <si>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</si>
  <si>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</si>
  <si>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</si>
  <si>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</si>
  <si>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</si>
  <si>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</si>
  <si>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</si>
  <si>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</si>
  <si>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</si>
  <si>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</si>
  <si>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</si>
  <si>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</si>
  <si>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</si>
  <si>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</si>
  <si>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</si>
  <si>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</si>
  <si>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</si>
  <si>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</si>
  <si>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</si>
  <si>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</si>
  <si>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</si>
  <si>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</si>
  <si>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</si>
  <si>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</si>
  <si>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</si>
  <si>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</si>
  <si>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</si>
  <si>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</si>
  <si>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</si>
  <si>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</si>
  <si>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</si>
  <si>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</si>
  <si>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</si>
  <si>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</si>
  <si>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</si>
  <si>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</si>
  <si>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</si>
  <si>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</si>
  <si>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</si>
  <si>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</si>
  <si>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</si>
  <si>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</si>
  <si>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</si>
  <si>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</si>
  <si>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</si>
  <si>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</si>
  <si>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</si>
  <si>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</si>
  <si>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</si>
  <si>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</si>
  <si>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</si>
  <si>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 xml:space="preserve">Agriculture et fonctionnariat </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</si>
  <si>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</si>
  <si>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</si>
  <si>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</si>
  <si>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</si>
  <si>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</si>
  <si>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</si>
  <si>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</si>
  <si>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</si>
  <si>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</si>
  <si>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</si>
  <si>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</si>
  <si>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</si>
  <si>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</si>
  <si>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</si>
  <si>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</si>
  <si>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</si>
  <si>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</si>
  <si>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</si>
  <si>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</si>
  <si>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</si>
  <si>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 xml:space="preserve">Inondation </t>
  </si>
  <si>
    <t>Cyclone</t>
  </si>
  <si>
    <t>Nom/type de danger</t>
  </si>
  <si>
    <t>Cause/origine :</t>
  </si>
  <si>
    <t>Signes précurseurs :</t>
  </si>
  <si>
    <t>Délai :</t>
  </si>
  <si>
    <t>Fréquence :</t>
  </si>
  <si>
    <t xml:space="preserve">Régulière </t>
  </si>
  <si>
    <t>Période d’occurrence :</t>
  </si>
  <si>
    <t>Durée :</t>
  </si>
  <si>
    <t xml:space="preserve">Epidémies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</si>
  <si>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</si>
  <si>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</si>
  <si>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</si>
  <si>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</si>
  <si>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</si>
  <si>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</si>
  <si>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</si>
  <si>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</si>
  <si>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</si>
  <si>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</si>
  <si>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</si>
  <si>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</si>
  <si>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Inondation</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</si>
  <si>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</si>
  <si>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</si>
  <si>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</si>
  <si>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</si>
  <si>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</si>
  <si>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</si>
  <si>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</si>
  <si>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</si>
  <si>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</si>
  <si>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</si>
  <si>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</si>
  <si>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</si>
  <si>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</si>
  <si>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</si>
  <si>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</si>
  <si>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</si>
  <si>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</si>
  <si>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</si>
  <si>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&gt; Consommation d'eau non potable 
&gt; Diarrhée 
&gt; Développement de maladies hydriques : Alofisaka, alobotry </t>
  </si>
  <si>
    <t xml:space="preserve">AUCUNE vulnérabilité </t>
  </si>
  <si>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</si>
  <si>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</si>
  <si>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</si>
  <si>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</si>
  <si>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</si>
  <si>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</si>
  <si>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</si>
  <si>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</si>
  <si>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</si>
  <si>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</si>
  <si>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</si>
  <si>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</si>
  <si>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</si>
  <si>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</si>
  <si>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</si>
  <si>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</si>
  <si>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</si>
  <si>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</si>
  <si>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</si>
  <si>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</si>
  <si>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</si>
  <si>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</si>
  <si>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</si>
  <si>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</si>
  <si>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</si>
  <si>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</si>
  <si>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</si>
  <si>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</si>
  <si>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</si>
  <si>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</si>
  <si>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</si>
  <si>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</si>
  <si>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</si>
  <si>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</si>
  <si>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</si>
  <si>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</si>
  <si>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</si>
  <si>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</si>
  <si>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</si>
  <si>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</si>
  <si>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</si>
  <si>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</si>
  <si>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</si>
  <si>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</si>
  <si>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</si>
  <si>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</si>
  <si>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</si>
  <si>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</si>
  <si>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</si>
  <si>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</si>
  <si>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</si>
  <si>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</si>
  <si>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</si>
  <si>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</si>
  <si>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</si>
  <si>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</si>
  <si>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</si>
  <si>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</si>
  <si>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</si>
  <si>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</si>
  <si>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</si>
  <si>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</si>
  <si>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</si>
  <si>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</si>
  <si>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</si>
  <si>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</si>
  <si>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</si>
  <si>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</si>
  <si>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</si>
  <si>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</si>
  <si>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</si>
  <si>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</si>
  <si>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</si>
  <si>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</si>
  <si>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</si>
  <si>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</si>
  <si>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</si>
  <si>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chaque année</t>
  </si>
  <si>
    <t>4 mois</t>
  </si>
  <si>
    <t>Branche : Morondava</t>
  </si>
  <si>
    <t>Pays : Madagascar</t>
  </si>
  <si>
    <t>Province / État : Toliara</t>
  </si>
  <si>
    <t>souvent touché par l'innondation</t>
  </si>
  <si>
    <t>Innondation</t>
  </si>
  <si>
    <t>Epidemie</t>
  </si>
  <si>
    <t xml:space="preserve">FKT 02/18 Ampasy </t>
  </si>
  <si>
    <t>Quartiers : Fkt 02/18 Ampasy</t>
  </si>
  <si>
    <t>Date de début de l’EVCa : 31/10/2024</t>
  </si>
  <si>
    <t>Date de fin de l’EVCa : 02/11/2024</t>
  </si>
  <si>
    <t>1 semaines et 2 semaines</t>
  </si>
  <si>
    <t>saisonier</t>
  </si>
  <si>
    <t>Presque toute l'année</t>
  </si>
  <si>
    <t>Décembre-Mars</t>
  </si>
  <si>
    <t xml:space="preserve">Chef Fokontany , AC </t>
  </si>
  <si>
    <t>Chef fokontany , AC</t>
  </si>
  <si>
    <t>Fokontany situé en plein ville ,Mais en basse altitude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</si>
  <si>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(Vice president Fokontany)
-        Représentant des chretiens
-        Représentant de la CRM local
-        Représentant des personnes âgées
-        Représentant des Jeunes
-        Représentant des Femmes 
-        Représentant des commerçants 
-        Représentant de la société civile
-        Représentant du secteur éducation
-        Représentant des élèves
-        Représentant des pecheurs
-        Agent communautaire
Durant le processus, les autorités locales (Préfecture, Commune, Arrondissement) ainsi que le BNGRC, le MEN ainsi que les gouvernences locales ont été  toujours impliqués. 
</t>
  </si>
  <si>
    <t>Il y avait des représentants des femmes, des représentants des jeunes. Ces derniers nous ont expliqué qu'il n'y avait pas de vulnérabilité particulière pour ces groupes car toute la communauté est affectée et se débrouille eux meme .</t>
  </si>
  <si>
    <t>Contact : 0348736810</t>
  </si>
  <si>
    <t>Position : Président de District</t>
  </si>
  <si>
    <t>Non définie</t>
  </si>
  <si>
    <t xml:space="preserve">&gt;Borne Fontaine (BF)
&gt;Pompe JAPIS
&gt; la communauté a accès à l'eau potable </t>
  </si>
  <si>
    <t xml:space="preserve">&gt;existance des abris comme: EPP et CEG Ampasy, Eglise , hopital privée SALFA Betela utilisés comme des hébergements et accueils temporaires 
Hébèrgement entre voisins  </t>
  </si>
  <si>
    <t>&gt;Agents communautaires et SALFA Betela , Communauté sensibilisée sur les gestes à suivre ce qui permet de faire diminuer la propagation des maladies</t>
  </si>
  <si>
    <t xml:space="preserve">&gt;BF et pompe Japis  pour un accès à l'eau potable ce qui évite certaines maladies 
</t>
  </si>
  <si>
    <t xml:space="preserve">&gt;BF, EPP et CEG Ankisirasira, Eglise Anglikanina utilisés comme des hébergements et accueils temporaires 
Hébèrgement entre voisins  </t>
  </si>
  <si>
    <t>Stabilité de production agricole , tranquilité d'ésprit , dimunition de propagation des maladies</t>
  </si>
  <si>
    <r>
      <t xml:space="preserve">Évaluation des Vulnérabilités et des Capacités Améliorée (EVCa) </t>
    </r>
    <r>
      <rPr>
        <sz val="20"/>
        <color theme="0"/>
        <rFont val="Arial"/>
        <family val="2"/>
      </rPr>
      <t>| Synthèse</t>
    </r>
  </si>
  <si>
    <t xml:space="preserve">Cyclone </t>
  </si>
  <si>
    <t>Croix-Rouge Malagasy / Branche Menabe</t>
  </si>
  <si>
    <t>BNGRC</t>
  </si>
  <si>
    <t>Dans le cadre du projet Programme local de Préparation et de Résilience aux aléas Multiples (PPRM) financé par la FCDO mis en oeuvre par la Croix-Rouge Malagasy, des activités de préparation et anticipation ont identifiés comme besoin crucial pour préparer cette saison cyclonique 2024– 2025. Ainsi, la région Menabe a été identifiée comme zone favorable pour mener une Evaluation des Vulnérabilités et Capacités améliorée (EVCA). Un atelier EVCA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(Vice president Fokontany) en tant qu’observateurs
- Représentant de la CRM local 
- Représentant des personnes âgées
- Représentant des Jeunes
- Représentant des Femmes 
- Représentant de la société civile
- Représentant du secteur éducation
- Représentant des commerçants
- Représentant du pecheurs
- Représentant des cultivateurs
- Représentant chretiens- Représentant des élèves</t>
  </si>
  <si>
    <t>Dommages aux bâtiments, infrastructures et habitations.
Risque pour les personnes en raison des débris volants.
Crues soudaines et inondations dans les zones basses.
Élévation rapide du niveau de la mer, causant des inondations côtières.
Dégâts dans les communautés côtières.
Interruption des services essentiels :
Coupures d'électricité, d'eau potable, et de communication.
Pénurie de biens essentiels (nourriture, médicaments).</t>
  </si>
  <si>
    <t xml:space="preserve">Personnes agées , enfants moins de 5ans , femme enceinte ou allaitantes , </t>
  </si>
  <si>
    <t>Ecole , batiments , champs de cultures , bureau , hopitaux ,…</t>
  </si>
  <si>
    <t xml:space="preserve">Marché, champs de cultures , ferme, bureau , entrepot , dépôt de stockage </t>
  </si>
  <si>
    <t>Les soins pour d'autres pathologies (chroniques ou urgentes) sont retardés ou négligés.auto-médication , -Infections fréquentes chez les professionnels de santé, conduisant à un manque de personnel qualifié.-Absence de structures de santé adéquates pour répondre à la demande croissante.-Diffusion de rumeurs ou de conseils médicaux erronés qui aggravent la situation et retardent les actions adéquates .-Ruptures de stock en médicaments, vaccins, matériel médical, et équipements de protection</t>
  </si>
  <si>
    <t>Les inondations, les cyclones et les épidémies sont les catastrophes les plus courantes dans la région.Ses effets peuvent causer des pertes humaines, des dégâts matériels, et perturber les écosystèmes et l’économie locale . 1. Risques pour les populations
Perte de vies humaines : Morts dues à des événements soudains (ex. : épidemie , effondrement de bâtiments, montée rapide des eaux).
Problèmes de santé :
Maladies liées à l’eau contaminée (diarhhée, la gale , paludisme après une inondation).
1. Risques économiques
Destruction des infrastructures : bureau,routes, batiment et écoles endommagés, impactant la vie quotidienne et les activités économiques.
Perte de moyens de subsistance :
Destruction des cultures agricoles et pertes dans le secteur de la pêche. augmentation des insecurités
2. Risques environnementaux
Dégradation des écosystèmes :
Érosion des sols et perte de biodiversité due à des inondations ou des glissements de terrain.
Pollution des eaux et destruction des récifs coralliens après des cyclones.
Perturbations climatiques locales : Changements dans la disponibilité de l'eau ou dans les saisons agricoles.
3. Risques pour la sécurité alimentaire
Réduction des rendements agricoles en raison d’inondations ou de cyclone.
Pénurie alimentaire et augmentation des prix des denrées, entraînant l'insécurité alimentaire.
4. Risques pour les infrastructures
Endommagement ou destruction des systèmes d'électricité et de communication.
Interruption des services essentiels comme l'eau potable, les soins médicaux et l'éducation.Les catastrophes naturelles entraînent des impacts multidimensionnels sur les populations, l’économie, et  l’environnement . La clé pour réduire ces risques réside dans la prévention, la préparation et des réponses rapides et adaptées.</t>
  </si>
  <si>
    <t>Pendant le période de pluies</t>
  </si>
  <si>
    <t>Déversement de déchets ; ordurs ; Inondation , défecation à l'air libre , emporté par le vent</t>
  </si>
  <si>
    <t xml:space="preserve">fréquents </t>
  </si>
  <si>
    <t>une fatigue inhabituelle , maux de tete , Fièvre, toux, congestion nasale, difficultés respiratoires</t>
  </si>
  <si>
    <t xml:space="preserve">Les aléas ont été identifiés grace aux outils : profil historique, calendrier saisonnier, matrice des risques, cartographie, marche transversale . Ces analyses multidimensionnelles permettent de prioriser les dangers comme les inondations , les cyclones et les épidémies, qui affectent gravement la région de Menabe et ses habitants.
</t>
  </si>
  <si>
    <t>Pluies , vent , information de Météo</t>
  </si>
  <si>
    <t>Changement climatique, perturbation ou dépression tropicale</t>
  </si>
  <si>
    <t>il n'y a pas de specificité par rapport au genre ou des groupes des personnes vulnerables , mais seulement par la secteur (partie) des Fokontany , elle l'ont expliquer et montrer à l'aide d'une carte de vulnerabilité et de carthographie du Fokontany Ampasy que telle secteur est vulnerable a tel aléas (inondation , épidemie , insécurité;...).</t>
  </si>
  <si>
    <t xml:space="preserve">&gt; Inondations de la communauté et nombre de sinistrés élevés 
&gt; Déstruction de maisons , des champs de cultures , les animaux est emporté par l'érosion causé par le dépassement de la rivière . </t>
  </si>
  <si>
    <r>
      <t xml:space="preserve">Aspects de vulnérabilité avec leurs causes </t>
    </r>
    <r>
      <rPr>
        <sz val="10"/>
        <color theme="0"/>
        <rFont val="Arial"/>
        <family val="2"/>
      </rPr>
      <t xml:space="preserve">
(la raison pour laquelle l'impact se produit et les causes profondes)</t>
    </r>
  </si>
  <si>
    <t>&gt; Absence de surélévation par rapport au niveau du sol, ce qui expose directement le logement aux inondations.
Mauvaise conception des fondations, entraînant des effondrements ou des infiltrations. , Manque d’alternatives pour les populations à faible revenu. Utilisation de matériaux non résistants à l'eau, comme le bois non traité, la terre battue, ou les briques non stabilisées.
Structures fragiles qui ne résistent pas aux impacts d'objets transportés par l'eau.</t>
  </si>
  <si>
    <t xml:space="preserve">&gt; Les débris des logements détruits et les matériaux polluants se dispersent dans la nature. Pollution accrue des zones naturelles et dans la mer </t>
  </si>
  <si>
    <t xml:space="preserve">&gt; Maisons détruites ou menacées , effondrement total ou partiel des habitations.
Dégradation des matériaux de construction (murs, fondations, toitures) due à l'eau.
Accumulation de boue, détritus ou saletés à l'intérieur des habitations.Les logements en matériaux non résistants (terre battue) sont souvent emportés.
</t>
  </si>
  <si>
    <t>&gt; Débordement de la rivière KABATOMENA dans la communauté
&gt; Pas assez de prise de responsabilité de l'autorité concerné</t>
  </si>
  <si>
    <t>&gt; Eau polluée , des puits polluée , eau sale rester pendant quelques semaines dans la communauté &gt; Déversement de selles et de déchets , Débordement des fosses septiques ( latrines), aggravant les risques sanitaires</t>
  </si>
  <si>
    <t>&gt; Canaux bouchés et remplis d'ordures , Chemins non pavés rendus impraticables par la boue , Bâtiments endommagés ou détruits, interrompant les activités éducatives et administratives.
Utilisation des écoles comme abris temporaires, rendant leur réouverture difficile.</t>
  </si>
  <si>
    <t xml:space="preserve">&gt; Cessation des activités 
&gt; Pertes indirectes dues à l’arrêt des activités économiques
&gt; Eaux polluées 
&gt; Les produits pourrissent 
&gt; Baisse de la clientèle 
&gt; Marchés inondés 
&gt; dificulté de déplacement pour travailler  </t>
  </si>
  <si>
    <t>&gt; Eau polluée , des puits polluée , Contamination de l’eau potable par les eaux de ruissellement, Manque d'accés à l'eau potable , Les eaux stagnantes favorisent la prolifération de moustiques (paludisme, dengue) et la contamination des sources d'eau potable.</t>
  </si>
  <si>
    <t>&gt; Les canaux bouchés empêchent l'évacuation rapide des eaux pluviales, entraînant des inondations prolongées. ; Les administrations locales ne peuvent fonctionner normalement, ce qui retarde la gestion des crises et les services à la population.Hausse des dépenses pour les réparations.
Utilisation des écoles comme abris temporaires, rendant leur réouverture difficile.L’accueil prolongé des sinistrés retarde la reprise des cours, perturbant l’année scolaire des élèves.</t>
  </si>
  <si>
    <t xml:space="preserve">&gt; Les habitants perdent leurs moyens de subsistance, notamment pour ceux qui travaillent depuis leur domicile ou dans l'agriculture
&gt; Les familles doivent consacrer leurs économies ou s'endetter pour réparer ou reconstruire leurs logements.Certain perdent leurs terres agricoles, aggravant la pauvreté. Détérioration de la qualité de vie et difficulté à se relever après l'inondation
</t>
  </si>
  <si>
    <t xml:space="preserve">&gt; augmentation de l'insécurité alimentaire ,Malnutrition 
</t>
  </si>
  <si>
    <t xml:space="preserve"> Renforcement des maisons , Pavage ou renforcement des chemins critiques pour garantir l’accès en toute saison. , Éducation communautaire : Former les résidents à reconnaître les signes avant-coureurs d'un cyclone et aux mesures à prendre en cas d'alerte , Prévoir des espaces spécifiques pour les sinistrés, évitant l’utilisation prolongée des écoles.Renforcer les systèmes d'alerte précoce pour permettre une évacuation rapide.</t>
  </si>
  <si>
    <t>Formation des leader communautaire ,Impliquer les chefs de village, responsables religieux et associations locales dans la prévention et la gestion des épidémies.Sensibilisation de la communauté pour la gestion de déchets et de n'est pas faire de l'automedication , addition du personnel santé (infirmier , docteur ,AC etc)</t>
  </si>
  <si>
    <t>Les nombres de personnes contaminés et des sinistrés diminue ainsi que le taux des mortalités ; Bonne maitrise de la situation pour gérer les crises futures ;Réduction de la propagation de l'épidémie</t>
  </si>
  <si>
    <t>Réductions des dégats materiels ; humaines et environnementaux , dimunition de diffucultés financieres , innondations , maladie Limitation des impacts sociaux et économiques à court et long terme</t>
  </si>
  <si>
    <t xml:space="preserve">Outils complets  (ciment , béches , la pelle , la bourrettes ) , des techniciens ; demande une collaboration avec la commune , ainsi qu'aux ONG ou association,  </t>
  </si>
  <si>
    <t xml:space="preserve">Outils de nettoyages ,Formation des Equipe Local des Sécours (ELS) , materiels de sensibilisations , collaboration avec la CRM ,Site d'évacuation assez suffisant pour les sinistrées </t>
  </si>
  <si>
    <t>pendant la saison cyclonique : Décembre Mars</t>
  </si>
  <si>
    <t>Chef Fokontany , ELS ,AC</t>
  </si>
  <si>
    <t>Sensibilisations , formateurs</t>
  </si>
  <si>
    <t xml:space="preserve">Sensibilisations , responsable </t>
  </si>
  <si>
    <t>Mégaphone , techniciens , Formateurs spécialisés , téchniciens en WASH et assanissement , demande des aides aux ONG et à la commune</t>
  </si>
  <si>
    <t>Pluies , cyclone</t>
  </si>
  <si>
    <t xml:space="preserve">Décembre-Mars </t>
  </si>
  <si>
    <t>Sensibilisations , techniciens spécialisé , ingénieurs</t>
  </si>
  <si>
    <t>Actions collectives pour renforcer les digues et déblayer les canaux.</t>
  </si>
  <si>
    <t>Dans cette communauté , ils sont beaucoup des hommes pour faire de l'actions collectives pour déblayer les canaux. . En mobilisant ces différentes forces, il est possible de réduire significativement les impacts des cyclones , des inondations. Une planification anticipée, une coordination efficace et une participation active des différents acteurs sont essentielles pour protéger les populations et les infrastructures.</t>
  </si>
  <si>
    <t>&gt;Partage des informations par les agents communaitaires, alertes météo, alertes précoces , existance d'Organisation nationale de gestion des catastrophes (par exemple, le BNGRC) ; Équipes spécialisées dans les secours, la recherche, et le sauvetage (ELS) , Connaissance des comportements cycloniques et des refuges naturels sûrs</t>
  </si>
  <si>
    <t>&gt;Possession de site d'hebergement , SAP (Systemen d'alerte Précoce) , et de materiel d'alarm BNGRC ; Connaissance des comportements cycloniques et des refuges naturels sûrs ; existance d'Organisation nationale de gestion des catastrophes (par exemple, le BNGRC)</t>
  </si>
  <si>
    <t xml:space="preserve">&gt;Agents communautaires et prise en charge médical privé SALFA Betela
&gt;Communauté sensibilisée sur les gestes à suivre ce qui permet de faire diminuer la propagation des maladies </t>
  </si>
  <si>
    <t>&gt;Un peu de soutien mutuel pour l’hébergement temporaire ou le partage des aliments entre familles ; Stocks pré-positionnés de nourriture, d’eau potable, et de matériaux d’urgence</t>
  </si>
  <si>
    <t>&gt;gagner de l'argent à hotelerie et PPN ; Les terres inondées peuvent être enrichies par les sédiments apportés par le cyclone, augmentant leur fertilité. Augmentation de la pêche artisanale et des revenus pour les pêcheurs locaux ; Emplois temporaires dans la construction (routes, maisons, écoles).</t>
  </si>
  <si>
    <t>&gt; Relance de la production agricole, notamment pour les cultures adaptées aux conditions post-cycloniques (riziculture, cultures vivrières) ; Les terres inondées peuvent être enrichies par les sédiments apportés par l'inondation , augmentant leur fertilité. Augmentation de la pêche artisanale et des revenus pour les pêcheurs locaux ; Emplois temporaires dans la construction (routes, maisons, écoles).</t>
  </si>
  <si>
    <t>&gt;Connaît les techniques traditionnelles pour renforcer les habitations contre les vents forts en utilisant des ressources naturelles ; Disponibilité de bois tombé ou de débris utilisables pour la construction ou comme combustible.</t>
  </si>
  <si>
    <t>&gt;Bornes Fontaines (BF) , puits , pompe Japis</t>
  </si>
  <si>
    <t>&gt;Certains maisons résistent ,en dûre / parpaing et en bois ce qui permet de limiter les dégâts</t>
  </si>
  <si>
    <t xml:space="preserve">&gt;Certains gens possedent de maison en dure , en parpaing , certains gens connaît les techniques traditionnelles pour renforcer les habitations contre les inondations en utilisant des ressources naturelles </t>
  </si>
  <si>
    <t xml:space="preserve">&gt;Stockage des nourriture vivriere comme: manioc,mais ,patate douce ; Stocks pré-positionnés de nourriture, d’eau potable, et de matériaux d’urgence
</t>
  </si>
  <si>
    <t>&gt;Possession de forêt des mangroves , Initiatives communautaires pour planter des arbres résilients.</t>
  </si>
  <si>
    <t>&gt;Possession des hopital privé SALFA, école , Eglise comme site d'hébergement temporaire</t>
  </si>
  <si>
    <t>Corruption , égoisme , Associations locales capables de profiter la situation pour en tirer de profits  ; La distribution inégale de l’aide humanitaire, des abris ou des ressources alimentaires peut créer des tensions entre communautés ou groupes.</t>
  </si>
  <si>
    <t>Discrimination ; Les villages dans les zones inondés ou difficilement accessibles pourraient recevoir peu ou pas d’assistance</t>
  </si>
  <si>
    <t>L'identification des risques pour la cohésion sociale, l'inclusion, et la connectivité nécessite une approche participative et interdisciplinaire.D'après le discution entre les membres du fokontany et le représentants de la société civile , la cohesion sociale dans la communauté est très bas car tout le monde est occupés en resoudre ses propres problemes en temps d'urgence dans le fokontany</t>
  </si>
  <si>
    <t>pêche local aprés le passage de débordemement de la rivière ; Augmentation de la pêche artisanale et des revenus pour les pêcheurs locaux</t>
  </si>
  <si>
    <t/>
  </si>
  <si>
    <t xml:space="preserve">Routes , batiments , marché, écoles , </t>
  </si>
  <si>
    <t>Écoles capables d’accueillir temporairement les sinistrés. Ils ont déjà de canal d'évacuation d'eau qui a besoin juste de curage pour faciliter l’évacuation rapide des eaux pluviales.</t>
  </si>
  <si>
    <t>Les bâtiments résidentiels, commerciaux et publics peuvent être endommagés ou détruits.Les routes inondées deviennent impraticables, interrompant les déplacements et le transport des marchandises.Le canal d'évacuation mal entretenus entraînent une stagnation de l’eau . Perte de matériel éducatif comme les livres et les équipements.</t>
  </si>
  <si>
    <t>Centres de santé inondés ou endommagés, rendant l'accès aux soins difficile , Débordement des décharges ou des systèmes de collecte des ordures, répandant des déchets dans l’environnement ,Pollution accrue et risque de maladies dues aux déchets.</t>
  </si>
  <si>
    <t>Équipes médicales capables de fournir des soins dans des abris temporaires ou des zones sinistrées.Réseaux de volontaires CRM locaux pour soutenir les efforts de secours.</t>
  </si>
  <si>
    <t>Puits , eau , lieu de défécation</t>
  </si>
  <si>
    <t>Traitement de l'eau faite par la communauté lors d'une passage d'inondation , mise en place de comités locaux pour superviser les activités d’eau et d’assainissement.</t>
  </si>
  <si>
    <t>Contamination de l'eau potable : Les inondations causées par le cyclone peuvent contaminer les sources d'eau potable (puits, rivières, réservoirs), rendant l'eau impropre à la consommation. La présence de débris, de produits chimiques et de matières fécales peut augmenter le risque de maladies hydriques telles que la diarrhée, le choléra et d'autres infections gastro-intestinales.
Rupture des infrastructures d'assainissement : Les systèmes d'assainissement (égouts, fosses septiques) peuvent être endommagés ou submergés, ce qui entraîne une mauvaise gestion des eaux usées. Cela peut causer la propagation de maladies liées à l'assainissement, telles que les infections cutanées et les maladies transmises par les selles.
Disparition des installations sanitaires : Les installations sanitaires, comme les latrines et les toilettes publiques, peuvent être détruites ou rendues inutilisables. Cela aggrave la situation d'assainissement et expose les populations à des risques sanitaire</t>
  </si>
  <si>
    <t>Les cyclones peuvent entraîner de graves inondations, ce qui a un double impact sur les ressources en eau.La perte de végétation peut entraîner une érosion des sols, un appauvrissement des terres et un impact négatif sur les espèces animales.</t>
  </si>
  <si>
    <t>La destruction de forêts, de mangroves , qui sont des boucliers naturels contre l'érosion et les vagues de tempête. Perte de terres agricoles et érosion des sols . La croissance urbaine incontrôlée dans les zones à haut risque augmente la vulnérabilité des populations et des ressources naturelles aux cyclones.</t>
  </si>
  <si>
    <t>&gt;  Dégradation des mangroves, forêts, et zones humides qui agissent comme barrières naturelles contre les inondations. 
&gt; Depôt d'ordure dans les zones naturelles et sur les zones côtières ;La croissance urbaine incontrôlée dans les zones à haut risque augmente la vulnérabilité des populations et des ressources naturelles aux cyclones.</t>
  </si>
  <si>
    <r>
      <rPr>
        <sz val="10"/>
        <rFont val="Arial"/>
        <family val="2"/>
      </rPr>
      <t xml:space="preserve">Les familles perdent leurs terres agricoles, aggravant l'insuffisance alimentaire , la pauvreté . Les stocks pourrissent . La perte de terres agricoles et érosion des sols qui dégradent les sols agricoles, ce qui rend les terres moins productives et augmente l'insécurité alimentaire. </t>
    </r>
    <r>
      <rPr>
        <sz val="10"/>
        <color rgb="FFFF0000"/>
        <rFont val="Arial"/>
        <family val="2"/>
      </rPr>
      <t xml:space="preserve">
</t>
    </r>
  </si>
  <si>
    <t xml:space="preserve">&gt; Les familles perdent leurs terres agricoles, aggravant l'insuffisance alimentaire , la pauvreté . La perte de terres agricoles et érosion des sols qui dégradent les sols agricoles, ce qui rend les terres moins productives et augmente l'insécurité alimentaire. Les stocks pourrissent </t>
  </si>
  <si>
    <t>&gt; Malnutrition , augmentation de l'insécurité alimentaire , hausse de prix des nourritures</t>
  </si>
  <si>
    <t>Les ressources humaines, financières et matérielles, normalement allouées à la gestion des risques de catastrophes, sont réorientées vers la lutte contre l’épidémie. Cela affaiblit la capacité de réponse à d'autres catastrophes.L’épidémie épuise les mécanismes de résilience des communautés, comme les réseaux de solidarité, les fonds d’épargne communautaires ou les capacités locales d’intervention.
Les plans d'action pour des événements climatiques extrêmes, comme les cyclones, les inondations ou les sécheresses, sont souvent retardés ou compromis en raison de la priorité donnée à la gestion de l’épidémie.</t>
  </si>
  <si>
    <t xml:space="preserve">Perte de moyens de subsistance en raison des confinements et des restrictions, ce qui réduit la résilience économique des familles.Isolement social et restrictions qui empêchent la mobilisation communautaire.
</t>
  </si>
  <si>
    <t>&gt;Les logements inadaptés, comme les habitations informelles ou surpeuplées, exposent les occupants à un risque accru de transmission des maladies.Les pertes d’emploi et de revenus causées par une épidémie (ex. : confinement ou arrêt des activités économiques) poussent de nombreuses familles à l’incapacité de payer leur loyer ou leur prêt hypothécaire, conduisant à des expulsions.
&gt;Le manque d’accès à des installations sanitaires adéquates (eau potable, toilettes) dans certains logements amplifie la propagation des maladies.</t>
  </si>
  <si>
    <t>&gt; Manque d'argent pour acheter de la nourriture , Hausse des cas d’insécurité alimentaire sévère dans les communautés pauvres et marginalisées.
&gt; Augmentation des prix des denrées alimentaires, rendant l’alimentation inaccessible pour les ménages les plus vulnérables. 
&gt; Réduction de la production agricole en raison de perturbations dans les activités agricoles (semis, récolte, etc.).
Perturbations des chaînes d’approvisionnement, entraînant une rareté des produits alimentaires sur les marchés.</t>
  </si>
  <si>
    <t>&gt; Augmentation du nombre de personnes souffrant de la faim ou n’ayant pas accès à une alimentation suffisante et équilibrée.
Apparition de crises alimentaires locales dues à une perturbation de la production, de la distribution ou de l'accès à la nourriture.</t>
  </si>
  <si>
    <t>Déclin des activités de reboisement, de surveillance des aires protégées et de gestion des espèces menacées.Dégradation des terres agricoles en raison de l’exploitation intensive ou de l’abandon des terres.</t>
  </si>
  <si>
    <t>&gt;Épuisement des ressources naturelles locales, compromettant leur disponibilité pour les générations futures.Augmentation de la déforestation pour l’agriculture ou pour répondre aux besoins en bois de chauffage ou en revenus rapides , exploitent davantage les forêts, les sols et les ressources halieutiques pour subvenir à leurs besoins, aggravant la dégradation des écosystèmes.</t>
  </si>
  <si>
    <t>&gt; Eloignement du centre de santé de base II , Incapacité des hôpitaux et centres de santé à répondre à l’afflux massif de patients.
Insuffisance d'équipements médicaux (lits, respirateurs, médicaments).Fermeture prolongée des écoles, compromettant l'accès à l'éducation.</t>
  </si>
  <si>
    <t>&gt; Les hôpitaux et centres de santé sont débordés par l’afflux de patients, entraînant une réduction de la qualité des soins.
&gt;Les systèmes de santé deviennent incapables de gérer d’autres maladies ou urgences, augmentant les taux de mortalité indirects.</t>
  </si>
  <si>
    <t>&gt; Difficultés financières pour acheter des médicaments 
&gt; Impossibilité de travailler 
&gt; Parfois la totalité des revenus sont dépensés dans les soins médicaux ; Confinements et restrictions sanitaires : Les fermetures d'entreprises, les interruptions de production causées par des confinements ou des mesures sanitaires ont un impact direct sur les revenus des travailleurs.</t>
  </si>
  <si>
    <t xml:space="preserve">&gt; Les personnes déjà vulnérables, comme les travailleurs précaires, les petites entreprises ou les populations à faible revenu, sont souvent les plus touchées
&gt; Aggravation de l'état de santé , décès 
&gt; Diminution des revenus </t>
  </si>
  <si>
    <t>Possession d'Hopital privée SALFA Betela , Équipes médicales capables de fournir des soins dans des abris temporaires ou des zones sinistrées.Réseaux de volontaires CRM locaux pour soutenir les efforts de secours.</t>
  </si>
  <si>
    <t>Les efforts de renforcement des bâtiments, notamment les maisons, peuvent inclure la consolidation des structures, le renforcement des toitures et des fenêtres pour mieux résister aux conditions extrêmes.</t>
  </si>
  <si>
    <t>Des destructions massives de logements, des blessures et des pertes humaines</t>
  </si>
  <si>
    <t>Les bâtiments mal conçus ou construits avec des matériaux faibles (comme des toits en tôle, des murs en briques non renforcées, etc.) sont vulnérables aux vents violents, à la pression de l'air et aux forces d'impact des débris soufflés. Cela peut entraîner l'effondrement partiel ou total des habitations.
Impact : Des destructions massives de logements, des blessures et des pertes humaines.</t>
  </si>
  <si>
    <r>
      <t xml:space="preserve">La région Menabe est l'une des vingt-trois régions de Madagascar. Elle est située dans la province de Toliara, dans la côte-ouest de l'île . Morondava, chef-lieu de la région Menabe , est la seconde ville du province et concentre 6,6% de sa population urbaine. Elle se situe dans la région Menabe, sur la côte ouest du pays, au débouché de l'océan indien, axe majeur de transport de marchandises, à environ 697 kilomètres d’Antananarivo via la route nationale 35 (RN35) jusqu'Antsirabe et puis RN7 pour Antananarivo. Morondava  est composée des 18 fokontany et rassemble 22% de la population de la région Menabe, avec 178 966 habitants pour une superficie de 23km22, soit une densité moyenne de 10 534 habitants/km2.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deux centres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02/18 Ampasy (secteurs 1, 2, 3, 4, 5) est composé de la sorte</t>
    </r>
    <r>
      <rPr>
        <sz val="10"/>
        <color theme="1"/>
        <rFont val="Arial"/>
        <family val="2"/>
      </rPr>
      <t xml:space="preserve">
Secteur 1 : population de 198 habitants (495 hommes et 743 femmes) répartis en 225 ménages avec une moyenne de 4 personnes par ménage 
Secteur 2 : population de 1032 habitants (420 hommes et 632 femmes) répartis en 133 ménages avec une moyenne de 7 personnes par ménage 
Secteur 3 : population de 1130 habitants (504 hommes et 696 femmes) répartis en 227 ménages avec une moyenne de 5 personnes par ménage
Secteur 4 : population de 1200 habitants (580 hommes et 720 femmes) répartis en 241 ménages avec une moyenne de 2 personnes par ménage 
Secteur 5 : population de 1215habitants (420 hommes et 980 femmes) répartis en 249 ménages avec une moyenne de 5 personnes par ménage
Le fokontany 02/18 Ampasy regroupe ainsi 4325 habitants dont 1426 hommes et 2899 femmes 
Les principaux risques auxquels fait face la communauté sont les suivants : inondations , cyclone et épidemie en lien avec les canaux bouchés et la mauvaise gestion des déchets ce qui génère des maladies ainsi qu’en lien avec l’augmentation du niveau de la mer. Le fokontany a été touché par plusieurs cyclones depuis les années 1990, un innondation ainsi que par l'épidémie de Covid.  
</t>
    </r>
  </si>
  <si>
    <t>Enfants :
Ils dépendent des adultes pour leur sécurité et sont particulièrement exposés aux maladies, à la malnutrition ou au stress en cas de crise.Femmes et filles :
Elles subissent souvent des charges sociales et économiques disproportionnées et sont parfois exposées à des risques accrus de violence ou de discrimination en situation de crise.</t>
  </si>
  <si>
    <t>Des facteurs liés à des aspects sociaux</t>
  </si>
  <si>
    <t>Inondation , insécurité</t>
  </si>
  <si>
    <t>&gt; Diarrhée, Paludisme, Gale &gt; peu aller jusqu'au décès , Contamination de l’eau potable par les eaux de ruissellement, entraînant des maladies et se propager rapide comme le choléra, les diarrhées , la gale. &gt;Prolifération des moustiques dans les zones inondées, augmentant les cas de paludisme et de dengue. Surcharge des services de santé due à l'augmentation des maladies post-inondation. Incapacité des hôpitaux à fournir des soins adéquats</t>
  </si>
  <si>
    <t xml:space="preserve">&gt; Insuffisance des BF 
&gt; Pas de moyens financiers pour acheter de l'eau à la JIRAMA
&gt; </t>
  </si>
  <si>
    <t>&gt; dépot de dechets et de l'eau presque permanent ;  Eau polluée , des puits polluée , eau sale rester pendant quelques semaines dans la communauté &gt; Déversement de selles et de déchets , Débordement des fosses septiques ( latrines), aggravant les risques sanitaires</t>
  </si>
  <si>
    <t xml:space="preserve"> &gt;Les habitats précaires sont souvent surpeuplés et mal ventilés</t>
  </si>
  <si>
    <t xml:space="preserve">&gt;  Destruction des maisons détruites ou menacées , effondrement total ou partiel des habitations.
Dégradation des matériaux de construction (murs, fondations, toitures) due à l'eau.
Accumulation de boue, détritus ou saletés à l'intérieur des habitations.Les logements en matériaux non résistants (terre battue) sont souvent emportés.
&gt; Cambriolage </t>
  </si>
  <si>
    <t>&gt; Concentration des sinistrés à un seul endroit - propogation encore plus rapide des maladies, bousculades 
&gt; Enfants ne peuvent pas aller à l'école 
&gt; Utilisation des écoles comme abris temporaires, rendant leur réouverture difficile.L’accueil prolongé des sinistrés retarde la reprise des cours, perturbant l’année scolaire des élèves.</t>
  </si>
  <si>
    <t xml:space="preserve">&gt; Absence de surélévation par rapport au niveau du sol, ce qui expose directement le logement aux inondations.
Mauvaise conception des fondations, entraînant des effondrements ou des infiltrations.
&gt; Manque d’alternatives pour les populations à faible revenu. Utilisation de matériaux non résistants à l'eau, comme le bois non traité, la terre battue, ou les briques non stabilisées.
&gt; Maisons laissées vacantes ou sinistrées </t>
  </si>
  <si>
    <t>&gt; Eau polluée , des puits polluée , eau sale rester pendant quelques semaines dans la communauté
&gt; Défécation dans la nature , manque d'habitude sur le traitement de l'eau lavage de mains .
&gt;Déversement de selles et de déchets dans le puits et eau , Débordement des fosses septiques (latrines ), aggravant les risques de pollution d'eau et de la communauté</t>
  </si>
  <si>
    <t xml:space="preserve">&gt; Surcharge des établissements de santé, entraînant des délais de traitement ou l'absence de soins pour certaines maladies non liées à l'épidémie.Interruption des services de santé essentiels (vaccination, suivi des maladies chroniques, maternité).Diminution de la qualité des soins pour tous les patients, y compris ceux atteints d'autres maladies.
Mortalité accrue en raison de retards dans les soins ou du manque de ressources
 </t>
  </si>
  <si>
    <t>&gt;AC , Existence d'hopital privée SALFA Betela  présents dans la communauté, peuvent servir de points d'intervention pour les diagnostics, les soins , des prise en charge médical et la sensibilisation.</t>
  </si>
  <si>
    <t>&gt;elle sont beaucoup des volontaires formé de la CRM , Implication des chefs de villages, des associations de femmes et des groupes de jeunes pour diffuser les messages de prévention.</t>
  </si>
  <si>
    <t>&gt;Certains Maisons est propre et il n'y a pas de risque de contamination ; En plus en dure/ parpaing et en bois ce qui permet de limiter les dégâts</t>
  </si>
  <si>
    <t xml:space="preserve">&gt;Possession des Champs de culturs (manioc , patates douces , …) </t>
  </si>
  <si>
    <t xml:space="preserve">&gt;Terre fertile , abondante , possession de vaste terrain </t>
  </si>
  <si>
    <t>&gt;Connaît les techniques traditionnelles pour l'utilisation des Plantes médicinaux</t>
  </si>
  <si>
    <t>retard de resultat de demande , Les routes impraticables empêchent le transport de biens et services, perturbant les chaînes d’approvisionnement locales</t>
  </si>
  <si>
    <t>1.Agriculture :
Destruction des cultures, perte de bétail, et contamination des sols, réduisant les opportunités de revenus agricoles.
2. Chômage temporaire ou prolongé
Les entreprises fermées ou affectées par les inondations peuvent licencier ou suspendre leurs employés.
Les secteurs informels, tels que les petits commerces de rue, sont particulièrement vulnérables.
3. Perte d'investissements
Les investisseurs hésitent à investir dans des zones sujettes aux inondations, réduisant les opportunités de croissance économique.
Les infrastructures endommagées (routes, ponts, réseaux électriques) rendent les zones moins attractives pour les investissements futurs</t>
  </si>
  <si>
    <t xml:space="preserve">&gt; Destruction des maisons , Les cyclones détruisent les cultures, les bétails et les commerces, rendant les communautés plus dépendantes des aides.
&gt; Montée des déchets rejetées par le débordement du fleuve KABATOMENA
</t>
  </si>
  <si>
    <t xml:space="preserve">&gt; Habitations situées dans des zones inondables ou des pentes instables.
&gt; Toitures légères, matériaux de construction non résistants, absence de normes parasismiques ou anti-cycloniques à cause de la pauvreté empêchant l’investissement dans des matériaux robustes
</t>
  </si>
  <si>
    <t>&gt;Eau polluée , des puits polluée , Contamination de l’eau potable par les eaux de ruissellement, Manque d'accés à l'eau potable , Les eaux stagnantes favorisent la prolifération de moustiques (paludisme, dengue) et la contamination des sources d'eau potable.</t>
  </si>
  <si>
    <t>&gt; Dépendance économique à des secteurs vulnérables , comme l'agriculture, pêche et commerce informel gravement perturbés par un cyclone. Impossibilité d'aller pêcher car la mer est trop agitée
&gt; Céssation des activités économiques 
&gt; Les routes, les marchés sont souvent détruits ou inaccessibles, interrompant les échanges commerciaux.</t>
  </si>
  <si>
    <t xml:space="preserve">&gt; Les terres agricoles et les ressources naturelles (pêche, forêts) sont souvent endommagées, réduisant la productivité économique.
&gt; Les habitants perdent leurs moyens de subsistance, notamment pour ceux qui travaillent depuis leur domicile ou dans l'agriculture
&gt; Les familles doivent consacrer leurs économies ou s'endetter pour réparer ou reconstruire leurs logements.Certain perdent leurs terres agricoles, aggravant la pauvreté. Détérioration de la qualité de vie et difficulté à se relever après l'inondation
&gt; Hausse généralisée des prix </t>
  </si>
  <si>
    <t>&gt;  Vieillesse des infrastructures , manque de réhabilitation
&gt; Déracinement de la borne à fontaine 
&gt; Canaux bouchés et remplis d'ordures , Chemins non pavés rendus impraticables par la boue , Bâtiments endommagés ou détruits, interrompant les activités éducatives et administratives.
Utilisation des écoles comme abris temporaires, rendant leur réouverture difficile.</t>
  </si>
  <si>
    <t xml:space="preserve">&gt; L'Automédication de la communauté
&gt;  Les épidémies augmentent significativement les cas de maladies et les décès dans la communauté.
&gt; Les gens doivent se tenir à distance les uns des autres </t>
  </si>
  <si>
    <t>&gt; Contamination de l’eau potable par les eaux de ruissellement, entraînant des maladies et se propager rapide comme  les diarrhées , la gale. &gt;Prolifération des moustiques dans les zones inondées, augmentant les cas de paludisme et de dengue. Surcharge des services de santé due à l'augmentation des maladies post-inondation. Incapacité des hôpitaux à fournir des soins adéquats</t>
  </si>
  <si>
    <t>&gt; Insuffisance des Borne Fontaine ,WC  
&gt; Défécation dans la nature , manque d'habitude sur le traitement de l'eau lavage de mains .
&gt;Déversement de selles et de déchets dans le puits et eau , Débordement des fosses septiques (latrines ), aggravant les risques de pollution d'eau et de la communauté</t>
  </si>
  <si>
    <t>Débordement de rivière KABATOMENA dans la communauté ,Pluies, climat 
Caractéristiques des lieux 
Canal d'évacuation d'eau presque même niveau au surface de la communauté et trop étroits, déchets dans les canaux, construction dans les bas quartiers, manque d'action des responsables, pas assez d'infrastructure d'évacuation , en raison de sa position géographique et de son élévation basse , la montée de la mer (maré Haute EQUINOX)</t>
  </si>
  <si>
    <t>Curage de canaux d'évacuation , Construction des passerelles en planche pour le passage des élèves , Campagnes communautaires pour éviter l’accumulation des déchets, 
Sensibiliser les habitants à la gestion des risques et à la préparation aux inondations , Surélévation des maisons ,Développer des infrastructures de drainage dans les zones résidentielles.
Installation de points de distribution d'eau potable.
Apporter un soutien financier et matériel aux familles touchées.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</si>
</sst>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sz val="10"/>
      <color rgb="FFFF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9">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6" fillId="9" borderId="4" xfId="0" applyFont="1" applyFill="1" applyBorder="1" applyAlignment="1">
      <alignment vertical="center"/>
    </xf>
    <xf numFmtId="0" fontId="21" fillId="9" borderId="4" xfId="0" applyFont="1" applyFill="1" applyBorder="1" applyAlignment="1">
      <alignment vertical="center"/>
    </xf>
    <xf numFmtId="0" fontId="27"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6" fillId="2" borderId="4" xfId="0" applyFont="1" applyFill="1" applyBorder="1" applyAlignment="1">
      <alignment vertical="center"/>
    </xf>
    <xf numFmtId="0" fontId="21" fillId="2" borderId="4" xfId="0" applyFont="1" applyFill="1" applyBorder="1" applyAlignment="1">
      <alignment vertical="center"/>
    </xf>
    <xf numFmtId="0" fontId="27"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7" fillId="11" borderId="4" xfId="0" applyFont="1" applyFill="1" applyBorder="1" applyAlignment="1">
      <alignment vertical="center"/>
    </xf>
    <xf numFmtId="2" fontId="3" fillId="0" borderId="0" xfId="0" applyNumberFormat="1" applyFont="1"/>
    <xf numFmtId="0" fontId="3" fillId="0" borderId="0" xfId="0" quotePrefix="1" applyFont="1"/>
    <xf numFmtId="0" fontId="26" fillId="11" borderId="4" xfId="0" applyFont="1" applyFill="1" applyBorder="1" applyAlignment="1">
      <alignment vertical="center"/>
    </xf>
    <xf numFmtId="0" fontId="9" fillId="10" borderId="56" xfId="0" applyFont="1" applyFill="1" applyBorder="1" applyAlignment="1">
      <alignment vertical="center" wrapText="1"/>
    </xf>
    <xf numFmtId="0" fontId="28" fillId="6" borderId="57" xfId="0" applyFont="1" applyFill="1" applyBorder="1" applyAlignment="1">
      <alignment horizontal="left" vertical="center" wrapText="1"/>
    </xf>
    <xf numFmtId="0" fontId="28" fillId="6" borderId="58" xfId="0" applyFont="1" applyFill="1" applyBorder="1" applyAlignment="1">
      <alignment horizontal="left" vertical="center" wrapText="1"/>
    </xf>
    <xf numFmtId="0" fontId="28"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8"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3"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8"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8"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11" fillId="6" borderId="70" xfId="0" applyFont="1" applyFill="1" applyBorder="1" applyAlignment="1">
      <alignment wrapText="1"/>
    </xf>
    <xf numFmtId="0" fontId="11" fillId="10" borderId="70" xfId="0" applyFont="1" applyFill="1" applyBorder="1" applyAlignment="1">
      <alignment horizontal="center" vertical="center" wrapText="1"/>
    </xf>
    <xf numFmtId="0" fontId="11" fillId="6" borderId="70" xfId="0" applyFont="1" applyFill="1" applyBorder="1" applyAlignment="1">
      <alignment vertical="center" wrapText="1"/>
    </xf>
    <xf numFmtId="0" fontId="11" fillId="6" borderId="70" xfId="0" applyFont="1" applyFill="1" applyBorder="1" applyAlignment="1">
      <alignment horizontal="center" vertical="center" wrapText="1"/>
    </xf>
    <xf numFmtId="0" fontId="11" fillId="10" borderId="70" xfId="0" applyFont="1" applyFill="1" applyBorder="1" applyAlignment="1">
      <alignment wrapText="1"/>
    </xf>
    <xf numFmtId="2" fontId="11" fillId="6" borderId="70" xfId="0" applyNumberFormat="1" applyFont="1" applyFill="1" applyBorder="1" applyAlignment="1">
      <alignment horizontal="center" vertical="center" wrapText="1"/>
    </xf>
    <xf numFmtId="2" fontId="11" fillId="10" borderId="70" xfId="0" applyNumberFormat="1" applyFont="1" applyFill="1" applyBorder="1" applyAlignment="1">
      <alignment horizontal="center" vertical="center" wrapText="1"/>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wrapText="1"/>
    </xf>
    <xf numFmtId="0" fontId="3"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wrapText="1"/>
    </xf>
    <xf numFmtId="0" fontId="5" fillId="10" borderId="31" xfId="0" applyFont="1" applyFill="1" applyBorder="1" applyAlignment="1">
      <alignment horizontal="left"/>
    </xf>
    <xf numFmtId="0" fontId="2" fillId="0" borderId="32" xfId="0" applyFont="1" applyBorder="1"/>
    <xf numFmtId="0" fontId="5" fillId="6"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4" fillId="5"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8"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37" xfId="0" applyFont="1" applyFill="1" applyBorder="1" applyAlignment="1">
      <alignment horizontal="left" vertical="top"/>
    </xf>
    <xf numFmtId="0" fontId="38" fillId="6" borderId="37" xfId="0" applyFont="1" applyFill="1" applyBorder="1" applyAlignment="1">
      <alignment horizontal="left" vertical="top" wrapText="1"/>
    </xf>
    <xf numFmtId="0" fontId="3" fillId="0" borderId="0" xfId="0" applyFont="1" applyAlignment="1">
      <alignment horizontal="center"/>
    </xf>
    <xf numFmtId="0" fontId="10" fillId="4" borderId="1" xfId="0" applyFont="1" applyFill="1" applyBorder="1" applyAlignment="1">
      <alignment horizontal="center" vertical="center"/>
    </xf>
    <xf numFmtId="0" fontId="24" fillId="6" borderId="37" xfId="0" applyFont="1" applyFill="1" applyBorder="1" applyAlignment="1">
      <alignment horizontal="left" vertical="top" wrapText="1"/>
    </xf>
    <xf numFmtId="0" fontId="10" fillId="0" borderId="0" xfId="0" applyFont="1" applyAlignment="1">
      <alignment horizontal="left" vertical="center"/>
    </xf>
    <xf numFmtId="0" fontId="23" fillId="6" borderId="37" xfId="0" applyFont="1" applyFill="1" applyBorder="1" applyAlignment="1">
      <alignment vertical="center" wrapText="1"/>
    </xf>
    <xf numFmtId="0" fontId="23" fillId="0" borderId="0" xfId="0" applyFont="1" applyAlignment="1">
      <alignment vertical="center"/>
    </xf>
    <xf numFmtId="0" fontId="38" fillId="6" borderId="37" xfId="0" applyFont="1" applyFill="1" applyBorder="1" applyAlignment="1">
      <alignment horizontal="left" vertical="top"/>
    </xf>
    <xf numFmtId="0" fontId="24" fillId="6" borderId="37" xfId="0" applyFont="1" applyFill="1" applyBorder="1" applyAlignment="1">
      <alignment horizontal="left" vertical="top"/>
    </xf>
    <xf numFmtId="0" fontId="38"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xf>
    <xf numFmtId="0" fontId="3" fillId="6" borderId="37" xfId="0" applyFont="1" applyFill="1" applyBorder="1" applyAlignment="1">
      <alignment horizontal="center" wrapText="1"/>
    </xf>
    <xf numFmtId="0" fontId="24" fillId="10" borderId="37" xfId="0" applyFont="1" applyFill="1" applyBorder="1" applyAlignment="1">
      <alignment horizontal="left" vertical="top" wrapText="1"/>
    </xf>
    <xf numFmtId="0" fontId="9" fillId="10" borderId="37" xfId="0" quotePrefix="1" applyFont="1" applyFill="1" applyBorder="1" applyAlignment="1">
      <alignment horizontal="center" vertical="center" wrapText="1"/>
    </xf>
    <xf numFmtId="0" fontId="9" fillId="6" borderId="37" xfId="0" quotePrefix="1" applyFont="1" applyFill="1" applyBorder="1" applyAlignment="1">
      <alignment horizontal="center" vertical="center" wrapText="1"/>
    </xf>
    <xf numFmtId="0" fontId="38" fillId="10" borderId="37" xfId="0" applyFont="1" applyFill="1" applyBorder="1" applyAlignment="1">
      <alignment horizontal="left" vertical="top" wrapText="1"/>
    </xf>
    <xf numFmtId="0" fontId="9" fillId="10" borderId="37" xfId="0" applyFont="1" applyFill="1" applyBorder="1" applyAlignment="1">
      <alignment horizontal="center" vertical="center" wrapText="1"/>
    </xf>
    <xf numFmtId="0" fontId="3" fillId="10" borderId="37" xfId="0" applyFont="1" applyFill="1" applyBorder="1" applyAlignment="1">
      <alignment horizontal="center" wrapText="1"/>
    </xf>
    <xf numFmtId="0" fontId="9" fillId="6" borderId="37" xfId="0" applyFont="1" applyFill="1" applyBorder="1" applyAlignment="1">
      <alignment horizontal="center" vertical="center"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10" fillId="13" borderId="50" xfId="0" applyFont="1" applyFill="1" applyBorder="1" applyAlignment="1">
      <alignment horizontal="left" vertical="top" wrapText="1"/>
    </xf>
    <xf numFmtId="0" fontId="2" fillId="0" borderId="51" xfId="0" applyFont="1" applyBorder="1"/>
    <xf numFmtId="0" fontId="28" fillId="6" borderId="25" xfId="0" applyFont="1" applyFill="1" applyBorder="1" applyAlignment="1">
      <alignment horizontal="left" vertical="center" wrapText="1"/>
    </xf>
    <xf numFmtId="0" fontId="28" fillId="10" borderId="25" xfId="0" applyFont="1" applyFill="1" applyBorder="1" applyAlignment="1">
      <alignment horizontal="left" vertical="center" wrapText="1"/>
    </xf>
    <xf numFmtId="0" fontId="10" fillId="13" borderId="25" xfId="0" applyFont="1" applyFill="1" applyBorder="1" applyAlignment="1">
      <alignment horizontal="left" vertical="top" wrapText="1"/>
    </xf>
    <xf numFmtId="0" fontId="29" fillId="6"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6" borderId="37" xfId="0" applyFont="1" applyFill="1" applyBorder="1" applyAlignment="1">
      <alignment horizontal="left" wrapText="1"/>
    </xf>
    <xf numFmtId="0" fontId="25" fillId="6" borderId="37" xfId="0" applyFont="1" applyFill="1" applyBorder="1" applyAlignment="1">
      <alignment horizontal="left" vertical="top" wrapText="1"/>
    </xf>
    <xf numFmtId="0" fontId="4" fillId="11" borderId="1" xfId="0" applyFont="1" applyFill="1" applyBorder="1" applyAlignment="1">
      <alignment horizontal="left" vertical="center"/>
    </xf>
    <xf numFmtId="0" fontId="4" fillId="2" borderId="1" xfId="0" applyFont="1" applyFill="1" applyBorder="1" applyAlignment="1">
      <alignment horizontal="left" vertical="center"/>
    </xf>
    <xf numFmtId="0" fontId="10" fillId="12" borderId="25" xfId="0" applyFont="1" applyFill="1" applyBorder="1" applyAlignment="1">
      <alignment horizontal="left" vertical="top" wrapText="1"/>
    </xf>
    <xf numFmtId="0" fontId="4" fillId="9" borderId="1" xfId="0" applyFont="1" applyFill="1" applyBorder="1" applyAlignment="1">
      <alignment horizontal="left"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2" fillId="0" borderId="55" xfId="0" applyFont="1" applyBorder="1" applyAlignment="1">
      <alignment wrapText="1"/>
    </xf>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0" fontId="9" fillId="0" borderId="25" xfId="0" applyFont="1" applyBorder="1" applyAlignment="1">
      <alignment horizontal="center" vertical="center"/>
    </xf>
    <xf numFmtId="0" fontId="9" fillId="0" borderId="25" xfId="0" applyFont="1" applyBorder="1" applyAlignment="1">
      <alignment horizont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30"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0" borderId="25" xfId="0" applyNumberFormat="1" applyFont="1" applyFill="1" applyBorder="1" applyAlignment="1">
      <alignment horizontal="center" vertical="center"/>
    </xf>
    <xf numFmtId="0" fontId="2" fillId="0" borderId="55" xfId="0" applyFont="1" applyBorder="1"/>
    <xf numFmtId="0" fontId="28" fillId="10"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8" fillId="6" borderId="67" xfId="0" applyFont="1" applyFill="1" applyBorder="1" applyAlignment="1">
      <alignment horizontal="left" vertical="center" wrapText="1"/>
    </xf>
    <xf numFmtId="0" fontId="28" fillId="10" borderId="67" xfId="0" applyFont="1" applyFill="1" applyBorder="1" applyAlignment="1">
      <alignment horizontal="center" vertical="center" wrapText="1"/>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8" fillId="6" borderId="67" xfId="0" applyFont="1" applyFill="1" applyBorder="1" applyAlignment="1">
      <alignment horizontal="center" vertical="center" wrapText="1"/>
    </xf>
    <xf numFmtId="0" fontId="28" fillId="0" borderId="0" xfId="0" applyFont="1" applyAlignment="1">
      <alignment horizontal="left" vertical="center" wrapText="1"/>
    </xf>
    <xf numFmtId="0" fontId="3" fillId="0" borderId="0" xfId="0" applyFont="1" applyAlignment="1">
      <alignment horizontal="center" wrapText="1"/>
    </xf>
    <xf numFmtId="0" fontId="34"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dagascarredcross-my.sharepoint.com/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24">
          <cell r="M24" t="str">
            <v>MOYENNE</v>
          </cell>
        </row>
        <row r="25">
          <cell r="M25" t="str">
            <v>MOYENNE</v>
          </cell>
        </row>
        <row r="39">
          <cell r="M39"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A1:Z1000"/>
  <sheetViews>
    <sheetView showGridLines="0" tabSelected="1" view="pageBreakPreview" zoomScale="89" zoomScaleNormal="94" zoomScaleSheetLayoutView="89" workbookViewId="0">
      <selection activeCell="E80" sqref="E80"/>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208" t="s">
        <v>0</v>
      </c>
      <c r="B1" s="206"/>
      <c r="C1" s="206"/>
      <c r="D1" s="206"/>
      <c r="E1" s="206"/>
      <c r="F1" s="206"/>
      <c r="G1" s="206"/>
      <c r="H1" s="206"/>
      <c r="I1" s="207"/>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9" t="s">
        <v>1</v>
      </c>
      <c r="B3" s="206"/>
      <c r="C3" s="206"/>
      <c r="D3" s="206"/>
      <c r="E3" s="206"/>
      <c r="F3" s="206"/>
      <c r="G3" s="206"/>
      <c r="H3" s="206"/>
      <c r="I3" s="207"/>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10" t="s">
        <v>2</v>
      </c>
      <c r="B5" s="211"/>
      <c r="C5" s="212"/>
      <c r="D5" s="6"/>
      <c r="E5" s="7"/>
      <c r="F5" s="7"/>
      <c r="G5" s="7"/>
      <c r="H5" s="7"/>
      <c r="I5" s="7"/>
      <c r="J5" s="3"/>
      <c r="K5" s="5"/>
      <c r="L5" s="5"/>
      <c r="M5" s="5"/>
      <c r="N5" s="5"/>
      <c r="O5" s="5"/>
      <c r="P5" s="5"/>
      <c r="Q5" s="5"/>
      <c r="R5" s="5"/>
      <c r="S5" s="5"/>
      <c r="T5" s="5"/>
      <c r="U5" s="3"/>
      <c r="V5" s="3"/>
      <c r="W5" s="3"/>
      <c r="X5" s="3"/>
      <c r="Y5" s="3"/>
      <c r="Z5" s="3"/>
    </row>
    <row r="6" spans="1:26" ht="31.5" customHeight="1" x14ac:dyDescent="0.3">
      <c r="A6" s="213"/>
      <c r="B6" s="214"/>
      <c r="C6" s="215"/>
      <c r="D6" s="6"/>
      <c r="E6" s="8" t="s">
        <v>209</v>
      </c>
      <c r="F6" s="7"/>
      <c r="G6" s="9" t="s">
        <v>210</v>
      </c>
      <c r="H6" s="7"/>
      <c r="I6" s="7"/>
      <c r="J6" s="3"/>
      <c r="K6" s="5"/>
      <c r="L6" s="5"/>
      <c r="M6" s="5"/>
      <c r="N6" s="5"/>
      <c r="O6" s="5"/>
      <c r="P6" s="5"/>
      <c r="Q6" s="5"/>
      <c r="R6" s="5"/>
      <c r="S6" s="5"/>
      <c r="T6" s="5"/>
      <c r="U6" s="3"/>
      <c r="V6" s="3"/>
      <c r="W6" s="3"/>
      <c r="X6" s="3"/>
      <c r="Y6" s="3"/>
      <c r="Z6" s="3"/>
    </row>
    <row r="7" spans="1:26" ht="9.75" customHeight="1" x14ac:dyDescent="0.3">
      <c r="A7" s="213"/>
      <c r="B7" s="214"/>
      <c r="C7" s="215"/>
      <c r="D7" s="6"/>
      <c r="E7" s="10"/>
      <c r="F7" s="7"/>
      <c r="G7" s="7"/>
      <c r="H7" s="7"/>
      <c r="I7" s="7"/>
      <c r="J7" s="3"/>
      <c r="K7" s="5"/>
      <c r="L7" s="5"/>
      <c r="M7" s="5"/>
      <c r="N7" s="5"/>
      <c r="O7" s="5"/>
      <c r="P7" s="5"/>
      <c r="Q7" s="5"/>
      <c r="R7" s="5"/>
      <c r="S7" s="5"/>
      <c r="T7" s="5"/>
      <c r="U7" s="3"/>
      <c r="V7" s="3"/>
      <c r="W7" s="3"/>
      <c r="X7" s="3"/>
      <c r="Y7" s="3"/>
      <c r="Z7" s="3"/>
    </row>
    <row r="8" spans="1:26" ht="31.5" customHeight="1" x14ac:dyDescent="0.3">
      <c r="A8" s="213"/>
      <c r="B8" s="214"/>
      <c r="C8" s="215"/>
      <c r="D8" s="6"/>
      <c r="E8" s="9" t="s">
        <v>205</v>
      </c>
      <c r="F8" s="7"/>
      <c r="G8" s="9" t="s">
        <v>204</v>
      </c>
      <c r="H8" s="7"/>
      <c r="I8" s="7"/>
      <c r="J8" s="3"/>
      <c r="K8" s="5"/>
      <c r="L8" s="5"/>
      <c r="M8" s="5"/>
      <c r="N8" s="5"/>
      <c r="O8" s="5"/>
      <c r="P8" s="5"/>
      <c r="Q8" s="5"/>
      <c r="R8" s="5"/>
      <c r="S8" s="5"/>
      <c r="T8" s="5"/>
      <c r="U8" s="3"/>
      <c r="V8" s="3"/>
      <c r="W8" s="3"/>
      <c r="X8" s="3"/>
      <c r="Y8" s="3"/>
      <c r="Z8" s="3"/>
    </row>
    <row r="9" spans="1:26" ht="31.5" customHeight="1" x14ac:dyDescent="0.3">
      <c r="A9" s="213"/>
      <c r="B9" s="214"/>
      <c r="C9" s="215"/>
      <c r="D9" s="6"/>
      <c r="E9" s="10"/>
      <c r="F9" s="7"/>
      <c r="G9" s="7"/>
      <c r="H9" s="7"/>
      <c r="I9" s="7"/>
      <c r="J9" s="3"/>
      <c r="K9" s="5"/>
      <c r="L9" s="5"/>
      <c r="M9" s="5"/>
      <c r="N9" s="5"/>
      <c r="O9" s="5"/>
      <c r="P9" s="5"/>
      <c r="Q9" s="5"/>
      <c r="R9" s="5"/>
      <c r="S9" s="5"/>
      <c r="T9" s="5"/>
      <c r="U9" s="3"/>
      <c r="V9" s="3"/>
      <c r="W9" s="3"/>
      <c r="X9" s="3"/>
      <c r="Y9" s="3"/>
      <c r="Z9" s="3"/>
    </row>
    <row r="10" spans="1:26" ht="31.5" customHeight="1" x14ac:dyDescent="0.3">
      <c r="A10" s="213"/>
      <c r="B10" s="214"/>
      <c r="C10" s="215"/>
      <c r="D10" s="6"/>
      <c r="E10" s="11" t="s">
        <v>3</v>
      </c>
      <c r="F10" s="7"/>
      <c r="G10" s="11" t="s">
        <v>203</v>
      </c>
      <c r="H10" s="7"/>
      <c r="I10" s="7"/>
      <c r="J10" s="3"/>
      <c r="K10" s="5"/>
      <c r="L10" s="5"/>
      <c r="M10" s="5"/>
      <c r="N10" s="5"/>
      <c r="O10" s="5"/>
      <c r="P10" s="5"/>
      <c r="Q10" s="5"/>
      <c r="R10" s="5"/>
      <c r="S10" s="5"/>
      <c r="T10" s="5"/>
      <c r="U10" s="3"/>
      <c r="V10" s="3"/>
      <c r="W10" s="3"/>
      <c r="X10" s="3"/>
      <c r="Y10" s="3"/>
      <c r="Z10" s="3"/>
    </row>
    <row r="11" spans="1:26" ht="9.75" customHeight="1" x14ac:dyDescent="0.3">
      <c r="A11" s="213"/>
      <c r="B11" s="214"/>
      <c r="C11" s="215"/>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13"/>
      <c r="B12" s="214"/>
      <c r="C12" s="215"/>
      <c r="D12" s="6"/>
      <c r="E12" s="9" t="s">
        <v>211</v>
      </c>
      <c r="F12" s="7"/>
      <c r="G12" s="11" t="s">
        <v>222</v>
      </c>
      <c r="H12" s="7"/>
      <c r="I12" s="7"/>
      <c r="J12" s="3"/>
      <c r="K12" s="5"/>
      <c r="L12" s="5"/>
      <c r="M12" s="5"/>
      <c r="N12" s="5"/>
      <c r="O12" s="5"/>
      <c r="P12" s="5"/>
      <c r="Q12" s="5"/>
      <c r="R12" s="5"/>
      <c r="S12" s="5"/>
      <c r="T12" s="5"/>
      <c r="U12" s="3"/>
      <c r="V12" s="3"/>
      <c r="W12" s="3"/>
      <c r="X12" s="3"/>
      <c r="Y12" s="3"/>
      <c r="Z12" s="3"/>
    </row>
    <row r="13" spans="1:26" ht="9.75" customHeight="1" x14ac:dyDescent="0.3">
      <c r="A13" s="213"/>
      <c r="B13" s="214"/>
      <c r="C13" s="215"/>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13"/>
      <c r="B14" s="214"/>
      <c r="C14" s="215"/>
      <c r="D14" s="6"/>
      <c r="E14" s="9" t="s">
        <v>212</v>
      </c>
      <c r="F14" s="7"/>
      <c r="G14" s="9" t="s">
        <v>223</v>
      </c>
      <c r="H14" s="7"/>
      <c r="I14" s="7"/>
      <c r="J14" s="3"/>
      <c r="K14" s="5"/>
      <c r="L14" s="5"/>
      <c r="M14" s="5"/>
      <c r="N14" s="5"/>
      <c r="O14" s="5"/>
      <c r="P14" s="5"/>
      <c r="Q14" s="5"/>
      <c r="R14" s="5"/>
      <c r="S14" s="5"/>
      <c r="T14" s="5"/>
      <c r="U14" s="3"/>
      <c r="V14" s="3"/>
      <c r="W14" s="3"/>
      <c r="X14" s="3"/>
      <c r="Y14" s="3"/>
      <c r="Z14" s="3"/>
    </row>
    <row r="15" spans="1:26" ht="9.75" customHeight="1" x14ac:dyDescent="0.3">
      <c r="A15" s="213"/>
      <c r="B15" s="214"/>
      <c r="C15" s="215"/>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13"/>
      <c r="B16" s="214"/>
      <c r="C16" s="215"/>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216"/>
      <c r="B17" s="217"/>
      <c r="C17" s="218"/>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208" t="s">
        <v>6</v>
      </c>
      <c r="B19" s="206"/>
      <c r="C19" s="206"/>
      <c r="D19" s="206"/>
      <c r="E19" s="206"/>
      <c r="F19" s="206"/>
      <c r="G19" s="206"/>
      <c r="H19" s="206"/>
      <c r="I19" s="207"/>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9" t="s">
        <v>7</v>
      </c>
      <c r="D21" s="206"/>
      <c r="E21" s="206"/>
      <c r="F21" s="206"/>
      <c r="G21" s="207"/>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20" t="s">
        <v>8</v>
      </c>
      <c r="D22" s="221"/>
      <c r="E22" s="221"/>
      <c r="F22" s="221"/>
      <c r="G22" s="222"/>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23" t="s">
        <v>235</v>
      </c>
      <c r="D24" s="224"/>
      <c r="E24" s="224"/>
      <c r="F24" s="224"/>
      <c r="G24" s="225"/>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26"/>
      <c r="D25" s="227"/>
      <c r="E25" s="227"/>
      <c r="F25" s="227"/>
      <c r="G25" s="228"/>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26"/>
      <c r="D26" s="227"/>
      <c r="E26" s="227"/>
      <c r="F26" s="227"/>
      <c r="G26" s="228"/>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26"/>
      <c r="D27" s="227"/>
      <c r="E27" s="227"/>
      <c r="F27" s="227"/>
      <c r="G27" s="228"/>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26"/>
      <c r="D28" s="227"/>
      <c r="E28" s="227"/>
      <c r="F28" s="227"/>
      <c r="G28" s="228"/>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26"/>
      <c r="D29" s="227"/>
      <c r="E29" s="227"/>
      <c r="F29" s="227"/>
      <c r="G29" s="228"/>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26"/>
      <c r="D30" s="227"/>
      <c r="E30" s="227"/>
      <c r="F30" s="227"/>
      <c r="G30" s="228"/>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26"/>
      <c r="D31" s="227"/>
      <c r="E31" s="227"/>
      <c r="F31" s="227"/>
      <c r="G31" s="228"/>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29"/>
      <c r="D32" s="230"/>
      <c r="E32" s="230"/>
      <c r="F32" s="230"/>
      <c r="G32" s="231"/>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202" t="s">
        <v>10</v>
      </c>
      <c r="L35" s="203"/>
      <c r="M35" s="203"/>
      <c r="N35" s="203"/>
      <c r="O35" s="203"/>
      <c r="P35" s="203"/>
      <c r="Q35" s="203"/>
      <c r="R35" s="204"/>
      <c r="S35" s="5"/>
      <c r="T35" s="5"/>
      <c r="U35" s="3"/>
      <c r="V35" s="3"/>
      <c r="W35" s="3"/>
      <c r="X35" s="3"/>
      <c r="Y35" s="3"/>
      <c r="Z35" s="3"/>
    </row>
    <row r="36" spans="1:26" ht="39.75" customHeight="1" x14ac:dyDescent="0.3">
      <c r="A36" s="205" t="s">
        <v>11</v>
      </c>
      <c r="B36" s="206"/>
      <c r="C36" s="206"/>
      <c r="D36" s="206"/>
      <c r="E36" s="206"/>
      <c r="F36" s="206"/>
      <c r="G36" s="206"/>
      <c r="H36" s="206"/>
      <c r="I36" s="207"/>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tr">
        <f>'3. Dangers'!C16:K16</f>
        <v xml:space="preserve">Inondation </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200" t="s">
        <v>13</v>
      </c>
      <c r="D40" s="201"/>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197" t="s">
        <v>15</v>
      </c>
      <c r="D41" s="196"/>
      <c r="E41" s="25" t="s">
        <v>142</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195" t="s">
        <v>16</v>
      </c>
      <c r="D42" s="196"/>
      <c r="E42" s="26" t="s">
        <v>144</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197" t="s">
        <v>17</v>
      </c>
      <c r="D43" s="196"/>
      <c r="E43" s="25" t="s">
        <v>144</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195" t="s">
        <v>18</v>
      </c>
      <c r="D44" s="196"/>
      <c r="E44" s="26" t="s">
        <v>144</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197" t="s">
        <v>19</v>
      </c>
      <c r="D45" s="196"/>
      <c r="E45" s="25" t="s">
        <v>144</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195" t="s">
        <v>20</v>
      </c>
      <c r="D46" s="196"/>
      <c r="E46" s="26" t="s">
        <v>146</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197" t="s">
        <v>21</v>
      </c>
      <c r="D47" s="196"/>
      <c r="E47" s="25" t="str">
        <f>'[1]7. Risque'!M24</f>
        <v>MOYENNE</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195" t="s">
        <v>22</v>
      </c>
      <c r="D48" s="196"/>
      <c r="E48" s="26" t="s">
        <v>144</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197" t="s">
        <v>23</v>
      </c>
      <c r="D49" s="196"/>
      <c r="E49" s="25" t="s">
        <v>146</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195" t="s">
        <v>24</v>
      </c>
      <c r="D50" s="196"/>
      <c r="E50" s="26" t="s">
        <v>146</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198" t="s">
        <v>25</v>
      </c>
      <c r="D51" s="199"/>
      <c r="E51" s="27" t="str">
        <f>'[1]7. Risque'!$M$25</f>
        <v>MOYENNE</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200" t="s">
        <v>13</v>
      </c>
      <c r="D54" s="201"/>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197" t="s">
        <v>15</v>
      </c>
      <c r="D55" s="196"/>
      <c r="E55" s="25" t="s">
        <v>142</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195" t="s">
        <v>16</v>
      </c>
      <c r="D56" s="196"/>
      <c r="E56" s="26" t="s">
        <v>144</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197" t="s">
        <v>17</v>
      </c>
      <c r="D57" s="196"/>
      <c r="E57" s="25" t="s">
        <v>144</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195" t="s">
        <v>18</v>
      </c>
      <c r="D58" s="196"/>
      <c r="E58" s="26" t="s">
        <v>142</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197" t="s">
        <v>19</v>
      </c>
      <c r="D59" s="196"/>
      <c r="E59" s="25" t="s">
        <v>144</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195" t="s">
        <v>20</v>
      </c>
      <c r="D60" s="196"/>
      <c r="E60" s="26" t="s">
        <v>146</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197" t="s">
        <v>21</v>
      </c>
      <c r="D61" s="196"/>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195" t="s">
        <v>22</v>
      </c>
      <c r="D62" s="196"/>
      <c r="E62" s="26" t="s">
        <v>144</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197" t="s">
        <v>23</v>
      </c>
      <c r="D63" s="196"/>
      <c r="E63" s="25" t="s">
        <v>142</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195" t="s">
        <v>24</v>
      </c>
      <c r="D64" s="196"/>
      <c r="E64" s="26" t="s">
        <v>144</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198" t="s">
        <v>25</v>
      </c>
      <c r="D65" s="199"/>
      <c r="E65" s="27" t="s">
        <v>142</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200" t="s">
        <v>13</v>
      </c>
      <c r="D68" s="201"/>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197" t="s">
        <v>15</v>
      </c>
      <c r="D69" s="196"/>
      <c r="E69" s="25" t="s">
        <v>146</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195" t="s">
        <v>16</v>
      </c>
      <c r="D70" s="196"/>
      <c r="E70" s="26" t="s">
        <v>142</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197" t="s">
        <v>17</v>
      </c>
      <c r="D71" s="196"/>
      <c r="E71" s="25" t="s">
        <v>146</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195" t="s">
        <v>18</v>
      </c>
      <c r="D72" s="196"/>
      <c r="E72" s="26" t="s">
        <v>146</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197" t="s">
        <v>19</v>
      </c>
      <c r="D73" s="196"/>
      <c r="E73" s="25" t="s">
        <v>144</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195" t="s">
        <v>20</v>
      </c>
      <c r="D74" s="196"/>
      <c r="E74" s="26" t="s">
        <v>146</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197" t="s">
        <v>21</v>
      </c>
      <c r="D75" s="196"/>
      <c r="E75" s="25" t="str">
        <f>'[1]7. Risque'!M39</f>
        <v>MOYENNE</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195" t="s">
        <v>22</v>
      </c>
      <c r="D76" s="196"/>
      <c r="E76" s="26" t="s">
        <v>142</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197" t="s">
        <v>23</v>
      </c>
      <c r="D77" s="196"/>
      <c r="E77" s="25" t="s">
        <v>146</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195" t="s">
        <v>24</v>
      </c>
      <c r="D78" s="196"/>
      <c r="E78" s="26" t="s">
        <v>146</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198" t="s">
        <v>25</v>
      </c>
      <c r="D79" s="199"/>
      <c r="E79" s="27" t="s">
        <v>142</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scale="44" orientation="portrait" r:id="rId1"/>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Z1000"/>
  <sheetViews>
    <sheetView showGridLines="0" topLeftCell="C12" zoomScale="86" zoomScaleNormal="86" workbookViewId="0">
      <selection activeCell="C13" sqref="C13:W13"/>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208" t="s">
        <v>26</v>
      </c>
      <c r="B1" s="206"/>
      <c r="C1" s="206"/>
      <c r="D1" s="206"/>
      <c r="E1" s="206"/>
      <c r="F1" s="206"/>
      <c r="G1" s="206"/>
      <c r="H1" s="206"/>
      <c r="I1" s="206"/>
      <c r="J1" s="206"/>
      <c r="K1" s="206"/>
      <c r="L1" s="206"/>
      <c r="M1" s="206"/>
      <c r="N1" s="206"/>
      <c r="O1" s="206"/>
      <c r="P1" s="206"/>
      <c r="Q1" s="206"/>
      <c r="R1" s="206"/>
      <c r="S1" s="206"/>
      <c r="T1" s="206"/>
      <c r="U1" s="206"/>
      <c r="V1" s="206"/>
      <c r="W1" s="206"/>
      <c r="X1" s="206"/>
      <c r="Y1" s="207"/>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65" t="s">
        <v>27</v>
      </c>
      <c r="B3" s="206"/>
      <c r="C3" s="206"/>
      <c r="D3" s="206"/>
      <c r="E3" s="206"/>
      <c r="F3" s="206"/>
      <c r="G3" s="206"/>
      <c r="H3" s="206"/>
      <c r="I3" s="206"/>
      <c r="J3" s="206"/>
      <c r="K3" s="206"/>
      <c r="L3" s="206"/>
      <c r="M3" s="206"/>
      <c r="N3" s="206"/>
      <c r="O3" s="206"/>
      <c r="P3" s="206"/>
      <c r="Q3" s="206"/>
      <c r="R3" s="206"/>
      <c r="S3" s="206"/>
      <c r="T3" s="206"/>
      <c r="U3" s="206"/>
      <c r="V3" s="206"/>
      <c r="W3" s="206"/>
      <c r="X3" s="206"/>
      <c r="Y3" s="207"/>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10" t="s">
        <v>2</v>
      </c>
      <c r="B5" s="211"/>
      <c r="C5" s="212"/>
      <c r="D5" s="6"/>
      <c r="E5" s="7"/>
      <c r="F5" s="7"/>
      <c r="G5" s="7"/>
      <c r="H5" s="7"/>
      <c r="I5" s="7"/>
      <c r="J5" s="7"/>
      <c r="K5" s="7"/>
      <c r="L5" s="7"/>
      <c r="M5" s="7"/>
      <c r="N5" s="7"/>
      <c r="O5" s="7"/>
      <c r="P5" s="7"/>
      <c r="Q5" s="7"/>
      <c r="R5" s="7"/>
      <c r="S5" s="7"/>
      <c r="T5" s="7"/>
      <c r="U5" s="7"/>
      <c r="V5" s="7"/>
      <c r="W5" s="7"/>
      <c r="X5" s="7"/>
      <c r="Y5" s="7"/>
      <c r="Z5" s="3"/>
    </row>
    <row r="6" spans="1:26" ht="31.5" customHeight="1" x14ac:dyDescent="0.3">
      <c r="A6" s="213"/>
      <c r="B6" s="214"/>
      <c r="C6" s="215"/>
      <c r="D6" s="6"/>
      <c r="E6" s="266" t="str">
        <f>'1. Résumé'!E6</f>
        <v xml:space="preserve">FKT 02/18 Ampasy </v>
      </c>
      <c r="F6" s="206"/>
      <c r="G6" s="206"/>
      <c r="H6" s="206"/>
      <c r="I6" s="207"/>
      <c r="J6" s="7"/>
      <c r="K6" s="267" t="s">
        <v>28</v>
      </c>
      <c r="L6" s="206"/>
      <c r="M6" s="206"/>
      <c r="N6" s="206"/>
      <c r="O6" s="207"/>
      <c r="P6" s="7"/>
      <c r="Q6" s="7"/>
      <c r="R6" s="267" t="s">
        <v>29</v>
      </c>
      <c r="S6" s="206"/>
      <c r="T6" s="206"/>
      <c r="U6" s="206"/>
      <c r="V6" s="206"/>
      <c r="W6" s="207"/>
      <c r="X6" s="7"/>
      <c r="Y6" s="7"/>
      <c r="Z6" s="3"/>
    </row>
    <row r="7" spans="1:26" ht="9.75" customHeight="1" x14ac:dyDescent="0.3">
      <c r="A7" s="216"/>
      <c r="B7" s="217"/>
      <c r="C7" s="218"/>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41" t="s">
        <v>30</v>
      </c>
      <c r="B9" s="206"/>
      <c r="C9" s="206"/>
      <c r="D9" s="206"/>
      <c r="E9" s="206"/>
      <c r="F9" s="206"/>
      <c r="G9" s="206"/>
      <c r="H9" s="206"/>
      <c r="I9" s="206"/>
      <c r="J9" s="206"/>
      <c r="K9" s="206"/>
      <c r="L9" s="206"/>
      <c r="M9" s="206"/>
      <c r="N9" s="206"/>
      <c r="O9" s="206"/>
      <c r="P9" s="206"/>
      <c r="Q9" s="206"/>
      <c r="R9" s="206"/>
      <c r="S9" s="206"/>
      <c r="T9" s="206"/>
      <c r="U9" s="206"/>
      <c r="V9" s="206"/>
      <c r="W9" s="206"/>
      <c r="X9" s="206"/>
      <c r="Y9" s="207"/>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9" t="s">
        <v>31</v>
      </c>
      <c r="D11" s="206"/>
      <c r="E11" s="206"/>
      <c r="F11" s="206"/>
      <c r="G11" s="206"/>
      <c r="H11" s="206"/>
      <c r="I11" s="206"/>
      <c r="J11" s="206"/>
      <c r="K11" s="206"/>
      <c r="L11" s="206"/>
      <c r="M11" s="206"/>
      <c r="N11" s="206"/>
      <c r="O11" s="206"/>
      <c r="P11" s="206"/>
      <c r="Q11" s="206"/>
      <c r="R11" s="206"/>
      <c r="S11" s="206"/>
      <c r="T11" s="206"/>
      <c r="U11" s="206"/>
      <c r="V11" s="206"/>
      <c r="W11" s="207"/>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58" t="s">
        <v>326</v>
      </c>
      <c r="D13" s="259"/>
      <c r="E13" s="259"/>
      <c r="F13" s="259"/>
      <c r="G13" s="259"/>
      <c r="H13" s="259"/>
      <c r="I13" s="259"/>
      <c r="J13" s="259"/>
      <c r="K13" s="259"/>
      <c r="L13" s="259"/>
      <c r="M13" s="259"/>
      <c r="N13" s="259"/>
      <c r="O13" s="259"/>
      <c r="P13" s="259"/>
      <c r="Q13" s="259"/>
      <c r="R13" s="259"/>
      <c r="S13" s="259"/>
      <c r="T13" s="259"/>
      <c r="U13" s="259"/>
      <c r="V13" s="259"/>
      <c r="W13" s="260"/>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61" t="s">
        <v>32</v>
      </c>
      <c r="D15" s="203"/>
      <c r="E15" s="203"/>
      <c r="F15" s="203"/>
      <c r="G15" s="203"/>
      <c r="H15" s="203"/>
      <c r="I15" s="203"/>
      <c r="J15" s="203"/>
      <c r="K15" s="203"/>
      <c r="L15" s="203"/>
      <c r="M15" s="203"/>
      <c r="N15" s="203"/>
      <c r="O15" s="203"/>
      <c r="P15" s="203"/>
      <c r="Q15" s="203"/>
      <c r="R15" s="203"/>
      <c r="S15" s="203"/>
      <c r="T15" s="203"/>
      <c r="U15" s="203"/>
      <c r="V15" s="203"/>
      <c r="W15" s="204"/>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62" t="s">
        <v>33</v>
      </c>
      <c r="D17" s="29"/>
      <c r="E17" s="264" t="s">
        <v>34</v>
      </c>
      <c r="F17" s="203"/>
      <c r="G17" s="204"/>
      <c r="H17" s="30"/>
      <c r="I17" s="256" t="s">
        <v>35</v>
      </c>
      <c r="J17" s="203"/>
      <c r="K17" s="204"/>
      <c r="L17" s="29"/>
      <c r="M17" s="256" t="s">
        <v>36</v>
      </c>
      <c r="N17" s="203"/>
      <c r="O17" s="204"/>
      <c r="P17" s="29"/>
      <c r="Q17" s="256" t="s">
        <v>37</v>
      </c>
      <c r="R17" s="203"/>
      <c r="S17" s="204"/>
      <c r="T17" s="29"/>
      <c r="U17" s="257" t="s">
        <v>38</v>
      </c>
      <c r="V17" s="203"/>
      <c r="W17" s="204"/>
      <c r="X17" s="3"/>
      <c r="Y17" s="4"/>
      <c r="Z17" s="3"/>
    </row>
    <row r="18" spans="1:26" ht="27" customHeight="1" x14ac:dyDescent="0.3">
      <c r="A18" s="4"/>
      <c r="B18" s="3"/>
      <c r="C18" s="263"/>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114</v>
      </c>
      <c r="F20" s="41">
        <v>156</v>
      </c>
      <c r="G20" s="42">
        <f>SUM(E20:F20)</f>
        <v>270</v>
      </c>
      <c r="H20" s="43"/>
      <c r="I20" s="40">
        <v>203</v>
      </c>
      <c r="J20" s="41">
        <v>879</v>
      </c>
      <c r="K20" s="42">
        <f>SUM(I20:J20)</f>
        <v>1082</v>
      </c>
      <c r="L20" s="44"/>
      <c r="M20" s="40">
        <v>1023</v>
      </c>
      <c r="N20" s="41">
        <v>1815</v>
      </c>
      <c r="O20" s="42">
        <f>SUM(M20:N20)</f>
        <v>2838</v>
      </c>
      <c r="P20" s="44"/>
      <c r="Q20" s="40">
        <v>76</v>
      </c>
      <c r="R20" s="41">
        <v>35</v>
      </c>
      <c r="S20" s="42">
        <f>SUM(Q20:R20)</f>
        <v>111</v>
      </c>
      <c r="T20" s="44"/>
      <c r="U20" s="40">
        <v>1421</v>
      </c>
      <c r="V20" s="40">
        <v>2892</v>
      </c>
      <c r="W20" s="42">
        <f>SUM(U20:V20)</f>
        <v>4313</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0.42222222222222222</v>
      </c>
      <c r="F22" s="48">
        <f>F20/G20</f>
        <v>0.57777777777777772</v>
      </c>
      <c r="G22" s="49">
        <f>SUM(E22:F22)</f>
        <v>1</v>
      </c>
      <c r="H22" s="50"/>
      <c r="I22" s="48">
        <f>I20/K20</f>
        <v>0.1876155268022181</v>
      </c>
      <c r="J22" s="48">
        <f>J20/K20</f>
        <v>0.81238447319778184</v>
      </c>
      <c r="K22" s="49">
        <f>SUM(I22:J22)</f>
        <v>1</v>
      </c>
      <c r="L22" s="51"/>
      <c r="M22" s="48">
        <f>M20/O20</f>
        <v>0.36046511627906974</v>
      </c>
      <c r="N22" s="48">
        <f>N20/O20</f>
        <v>0.63953488372093026</v>
      </c>
      <c r="O22" s="49">
        <f>SUM(M22:N22)</f>
        <v>1</v>
      </c>
      <c r="P22" s="51"/>
      <c r="Q22" s="48">
        <f>Q20/S20</f>
        <v>0.68468468468468469</v>
      </c>
      <c r="R22" s="48">
        <f>R20/S20</f>
        <v>0.31531531531531531</v>
      </c>
      <c r="S22" s="49">
        <f>SUM(Q22:R22)</f>
        <v>1</v>
      </c>
      <c r="T22" s="51"/>
      <c r="U22" s="48">
        <f>U20/W20</f>
        <v>0.32946904706700675</v>
      </c>
      <c r="V22" s="48">
        <f>V20/W20</f>
        <v>0.67053095293299325</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0</v>
      </c>
      <c r="F24" s="41">
        <v>0</v>
      </c>
      <c r="G24" s="42">
        <f>SUM(E24:F24)</f>
        <v>0</v>
      </c>
      <c r="H24" s="53"/>
      <c r="I24" s="40">
        <v>2</v>
      </c>
      <c r="J24" s="41">
        <v>4</v>
      </c>
      <c r="K24" s="42">
        <f>SUM(I24:J24)</f>
        <v>6</v>
      </c>
      <c r="L24" s="39"/>
      <c r="M24" s="40">
        <v>3</v>
      </c>
      <c r="N24" s="41">
        <v>3</v>
      </c>
      <c r="O24" s="42">
        <f>SUM(M24:N24)</f>
        <v>6</v>
      </c>
      <c r="P24" s="39"/>
      <c r="Q24" s="40">
        <v>0</v>
      </c>
      <c r="R24" s="41">
        <v>0</v>
      </c>
      <c r="S24" s="42">
        <f>SUM(Q24:R24)</f>
        <v>0</v>
      </c>
      <c r="T24" s="39"/>
      <c r="U24" s="40">
        <v>5</v>
      </c>
      <c r="V24" s="40">
        <v>7</v>
      </c>
      <c r="W24" s="42">
        <f>SUM(U24:V24)</f>
        <v>12</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42" t="s">
        <v>47</v>
      </c>
      <c r="D26" s="203"/>
      <c r="E26" s="203"/>
      <c r="F26" s="203"/>
      <c r="G26" s="203"/>
      <c r="H26" s="203"/>
      <c r="I26" s="203"/>
      <c r="J26" s="203"/>
      <c r="K26" s="203"/>
      <c r="L26" s="203"/>
      <c r="M26" s="203"/>
      <c r="N26" s="203"/>
      <c r="O26" s="203"/>
      <c r="P26" s="203"/>
      <c r="Q26" s="203"/>
      <c r="R26" s="203"/>
      <c r="S26" s="204"/>
      <c r="T26" s="39"/>
      <c r="U26" s="40">
        <v>9</v>
      </c>
      <c r="V26" s="41">
        <v>11</v>
      </c>
      <c r="W26" s="42">
        <f>SUM(U26:V26)</f>
        <v>20</v>
      </c>
      <c r="X26" s="3"/>
      <c r="Y26" s="4"/>
      <c r="Z26" s="3"/>
    </row>
    <row r="27" spans="1:26" ht="18" customHeight="1" x14ac:dyDescent="0.3">
      <c r="A27" s="4"/>
      <c r="B27" s="3"/>
      <c r="C27" s="243"/>
      <c r="D27" s="203"/>
      <c r="E27" s="203"/>
      <c r="F27" s="203"/>
      <c r="G27" s="203"/>
      <c r="H27" s="203"/>
      <c r="I27" s="203"/>
      <c r="J27" s="203"/>
      <c r="K27" s="203"/>
      <c r="L27" s="203"/>
      <c r="M27" s="203"/>
      <c r="N27" s="203"/>
      <c r="O27" s="203"/>
      <c r="P27" s="203"/>
      <c r="Q27" s="203"/>
      <c r="R27" s="203"/>
      <c r="S27" s="204"/>
      <c r="T27" s="29"/>
      <c r="U27" s="55">
        <f t="shared" ref="U27:W27" si="0">U26/U20</f>
        <v>6.3335679099225895E-3</v>
      </c>
      <c r="V27" s="55">
        <f t="shared" si="0"/>
        <v>3.8035961272475795E-3</v>
      </c>
      <c r="W27" s="56">
        <f t="shared" si="0"/>
        <v>4.6371435195919318E-3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44" t="s">
        <v>48</v>
      </c>
      <c r="D29" s="3"/>
      <c r="E29" s="247" t="s">
        <v>49</v>
      </c>
      <c r="F29" s="248"/>
      <c r="G29" s="249"/>
      <c r="H29" s="58"/>
      <c r="I29" s="255" t="s">
        <v>50</v>
      </c>
      <c r="J29" s="211"/>
      <c r="K29" s="212"/>
      <c r="L29" s="3"/>
      <c r="M29" s="235" t="s">
        <v>51</v>
      </c>
      <c r="N29" s="233"/>
      <c r="O29" s="234"/>
      <c r="P29" s="3"/>
      <c r="Q29" s="255" t="s">
        <v>52</v>
      </c>
      <c r="R29" s="211"/>
      <c r="S29" s="212"/>
      <c r="T29" s="3"/>
      <c r="U29" s="239" t="s">
        <v>53</v>
      </c>
      <c r="V29" s="233"/>
      <c r="W29" s="234"/>
      <c r="X29" s="3"/>
      <c r="Y29" s="4"/>
      <c r="Z29" s="3"/>
    </row>
    <row r="30" spans="1:26" ht="9.75" customHeight="1" x14ac:dyDescent="0.3">
      <c r="A30" s="4"/>
      <c r="B30" s="3"/>
      <c r="C30" s="245"/>
      <c r="D30" s="3"/>
      <c r="E30" s="250"/>
      <c r="F30" s="214"/>
      <c r="G30" s="251"/>
      <c r="H30" s="3"/>
      <c r="I30" s="213"/>
      <c r="J30" s="214"/>
      <c r="K30" s="215"/>
      <c r="L30" s="3"/>
      <c r="M30" s="59"/>
      <c r="N30" s="59"/>
      <c r="O30" s="59"/>
      <c r="P30" s="3"/>
      <c r="Q30" s="213"/>
      <c r="R30" s="214"/>
      <c r="S30" s="215"/>
      <c r="T30" s="3"/>
      <c r="U30" s="60"/>
      <c r="V30" s="60"/>
      <c r="W30" s="60"/>
      <c r="X30" s="3"/>
      <c r="Y30" s="4"/>
      <c r="Z30" s="3"/>
    </row>
    <row r="31" spans="1:26" ht="31.5" customHeight="1" x14ac:dyDescent="0.3">
      <c r="A31" s="4"/>
      <c r="B31" s="3"/>
      <c r="C31" s="246"/>
      <c r="D31" s="3"/>
      <c r="E31" s="252"/>
      <c r="F31" s="253"/>
      <c r="G31" s="254"/>
      <c r="H31" s="58"/>
      <c r="I31" s="216"/>
      <c r="J31" s="217"/>
      <c r="K31" s="218"/>
      <c r="L31" s="3"/>
      <c r="M31" s="235" t="s">
        <v>54</v>
      </c>
      <c r="N31" s="233"/>
      <c r="O31" s="234"/>
      <c r="P31" s="3"/>
      <c r="Q31" s="216"/>
      <c r="R31" s="217"/>
      <c r="S31" s="218"/>
      <c r="T31" s="3"/>
      <c r="U31" s="239" t="s">
        <v>55</v>
      </c>
      <c r="V31" s="233"/>
      <c r="W31" s="234"/>
      <c r="X31" s="3"/>
      <c r="Y31" s="4"/>
      <c r="Z31" s="3"/>
    </row>
    <row r="32" spans="1:26" ht="9.75" customHeight="1" x14ac:dyDescent="0.3">
      <c r="A32" s="4"/>
      <c r="B32" s="3"/>
      <c r="C32" s="61"/>
      <c r="D32" s="3"/>
      <c r="E32" s="62"/>
      <c r="F32" s="62"/>
      <c r="G32" s="62"/>
      <c r="H32" s="58"/>
      <c r="I32" s="236"/>
      <c r="J32" s="206"/>
      <c r="K32" s="207"/>
      <c r="L32" s="3"/>
      <c r="M32" s="62"/>
      <c r="N32" s="62"/>
      <c r="O32" s="62"/>
      <c r="P32" s="3"/>
      <c r="Q32" s="61"/>
      <c r="R32" s="61"/>
      <c r="S32" s="61"/>
      <c r="T32" s="3"/>
      <c r="U32" s="60"/>
      <c r="V32" s="60"/>
      <c r="W32" s="60"/>
      <c r="X32" s="3"/>
      <c r="Y32" s="4"/>
      <c r="Z32" s="3"/>
    </row>
    <row r="33" spans="1:26" ht="84.75" customHeight="1" x14ac:dyDescent="0.3">
      <c r="A33" s="4"/>
      <c r="B33" s="3"/>
      <c r="C33" s="63" t="s">
        <v>56</v>
      </c>
      <c r="D33" s="3"/>
      <c r="E33" s="238" t="s">
        <v>206</v>
      </c>
      <c r="F33" s="233"/>
      <c r="G33" s="234"/>
      <c r="H33" s="58"/>
      <c r="I33" s="237" t="s">
        <v>57</v>
      </c>
      <c r="J33" s="206"/>
      <c r="K33" s="207"/>
      <c r="L33" s="3"/>
      <c r="M33" s="238" t="s">
        <v>219</v>
      </c>
      <c r="N33" s="233"/>
      <c r="O33" s="234"/>
      <c r="P33" s="3"/>
      <c r="Q33" s="237" t="s">
        <v>58</v>
      </c>
      <c r="R33" s="206"/>
      <c r="S33" s="207"/>
      <c r="T33" s="3"/>
      <c r="U33" s="238" t="s">
        <v>59</v>
      </c>
      <c r="V33" s="233"/>
      <c r="W33" s="234"/>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40" t="s">
        <v>9</v>
      </c>
      <c r="F35" s="206"/>
      <c r="G35" s="206"/>
      <c r="H35" s="207"/>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41" t="s">
        <v>60</v>
      </c>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7"/>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9" t="s">
        <v>61</v>
      </c>
      <c r="D40" s="206"/>
      <c r="E40" s="206"/>
      <c r="F40" s="206"/>
      <c r="G40" s="206"/>
      <c r="H40" s="206"/>
      <c r="I40" s="206"/>
      <c r="J40" s="206"/>
      <c r="K40" s="206"/>
      <c r="L40" s="206"/>
      <c r="M40" s="206"/>
      <c r="N40" s="206"/>
      <c r="O40" s="206"/>
      <c r="P40" s="206"/>
      <c r="Q40" s="206"/>
      <c r="R40" s="206"/>
      <c r="S40" s="206"/>
      <c r="T40" s="206"/>
      <c r="U40" s="206"/>
      <c r="V40" s="206"/>
      <c r="W40" s="207"/>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32" t="s">
        <v>220</v>
      </c>
      <c r="D42" s="233"/>
      <c r="E42" s="233"/>
      <c r="F42" s="233"/>
      <c r="G42" s="233"/>
      <c r="H42" s="233"/>
      <c r="I42" s="233"/>
      <c r="J42" s="233"/>
      <c r="K42" s="233"/>
      <c r="L42" s="233"/>
      <c r="M42" s="233"/>
      <c r="N42" s="233"/>
      <c r="O42" s="233"/>
      <c r="P42" s="233"/>
      <c r="Q42" s="233"/>
      <c r="R42" s="233"/>
      <c r="S42" s="233"/>
      <c r="T42" s="233"/>
      <c r="U42" s="233"/>
      <c r="V42" s="233"/>
      <c r="W42" s="234"/>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62</v>
      </c>
      <c r="D46" s="3"/>
      <c r="E46" s="65" t="s">
        <v>63</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49</v>
      </c>
      <c r="D47" s="3"/>
      <c r="E47" s="66" t="s">
        <v>64</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65</v>
      </c>
      <c r="D48" s="3"/>
      <c r="E48" s="66" t="s">
        <v>66</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67</v>
      </c>
      <c r="D49" s="3"/>
      <c r="E49" s="66" t="s">
        <v>53</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68</v>
      </c>
      <c r="D51" s="3"/>
      <c r="E51" s="66" t="s">
        <v>69</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51</v>
      </c>
      <c r="D52" s="3"/>
      <c r="E52" s="66" t="s">
        <v>70</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71</v>
      </c>
      <c r="D53" s="3"/>
      <c r="E53" s="66" t="s">
        <v>55</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72</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73</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54</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74</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scale="49" orientation="landscape" r:id="rId1"/>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pageSetUpPr fitToPage="1"/>
  </sheetPr>
  <dimension ref="A1:AC1000"/>
  <sheetViews>
    <sheetView showGridLines="0" topLeftCell="A19" zoomScale="80" zoomScaleNormal="80" workbookViewId="0">
      <selection activeCell="E20" sqref="E20:K20"/>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208" t="s">
        <v>75</v>
      </c>
      <c r="B1" s="206"/>
      <c r="C1" s="206"/>
      <c r="D1" s="206"/>
      <c r="E1" s="206"/>
      <c r="F1" s="206"/>
      <c r="G1" s="206"/>
      <c r="H1" s="206"/>
      <c r="I1" s="206"/>
      <c r="J1" s="206"/>
      <c r="K1" s="206"/>
      <c r="L1" s="206"/>
      <c r="M1" s="206"/>
      <c r="N1" s="206"/>
      <c r="O1" s="206"/>
      <c r="P1" s="206"/>
      <c r="Q1" s="206"/>
      <c r="R1" s="206"/>
      <c r="S1" s="206"/>
      <c r="T1" s="206"/>
      <c r="U1" s="206"/>
      <c r="V1" s="206"/>
      <c r="W1" s="206"/>
      <c r="X1" s="206"/>
      <c r="Y1" s="207"/>
      <c r="Z1" s="67"/>
      <c r="AA1" s="1" t="s">
        <v>76</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 xml:space="preserve">Inondation </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10" t="s">
        <v>2</v>
      </c>
      <c r="B4" s="211"/>
      <c r="C4" s="212"/>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13"/>
      <c r="B5" s="214"/>
      <c r="C5" s="215"/>
      <c r="D5" s="6"/>
      <c r="E5" s="266" t="str">
        <f>'1. Résumé'!E6</f>
        <v xml:space="preserve">FKT 02/18 Ampasy </v>
      </c>
      <c r="F5" s="206"/>
      <c r="G5" s="206"/>
      <c r="H5" s="206"/>
      <c r="I5" s="207"/>
      <c r="J5" s="7"/>
      <c r="K5" s="267" t="str">
        <f>'1. Résumé'!G8</f>
        <v>Pays : Madagascar</v>
      </c>
      <c r="L5" s="206"/>
      <c r="M5" s="206"/>
      <c r="N5" s="206"/>
      <c r="O5" s="207"/>
      <c r="P5" s="7"/>
      <c r="Q5" s="7"/>
      <c r="R5" s="267" t="str">
        <f>'1. Résumé'!E10</f>
        <v>Société nationale : Croix-Rouge Malagasy</v>
      </c>
      <c r="S5" s="206"/>
      <c r="T5" s="206"/>
      <c r="U5" s="206"/>
      <c r="V5" s="206"/>
      <c r="W5" s="207"/>
      <c r="X5" s="7"/>
      <c r="Y5" s="7"/>
      <c r="Z5" s="3"/>
      <c r="AA5" s="5" t="str">
        <f>IF(O34="","",O34)</f>
        <v/>
      </c>
      <c r="AB5" s="3"/>
      <c r="AC5" s="3"/>
    </row>
    <row r="6" spans="1:29" ht="9.75" customHeight="1" x14ac:dyDescent="0.3">
      <c r="A6" s="216"/>
      <c r="B6" s="217"/>
      <c r="C6" s="218"/>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81" t="s">
        <v>77</v>
      </c>
      <c r="B8" s="206"/>
      <c r="C8" s="206"/>
      <c r="D8" s="206"/>
      <c r="E8" s="206"/>
      <c r="F8" s="206"/>
      <c r="G8" s="206"/>
      <c r="H8" s="206"/>
      <c r="I8" s="206"/>
      <c r="J8" s="206"/>
      <c r="K8" s="206"/>
      <c r="L8" s="206"/>
      <c r="M8" s="206"/>
      <c r="N8" s="206"/>
      <c r="O8" s="206"/>
      <c r="P8" s="206"/>
      <c r="Q8" s="206"/>
      <c r="R8" s="206"/>
      <c r="S8" s="206"/>
      <c r="T8" s="206"/>
      <c r="U8" s="206"/>
      <c r="V8" s="206"/>
      <c r="W8" s="206"/>
      <c r="X8" s="206"/>
      <c r="Y8" s="207"/>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82" t="s">
        <v>78</v>
      </c>
      <c r="D10" s="206"/>
      <c r="E10" s="206"/>
      <c r="F10" s="206"/>
      <c r="G10" s="206"/>
      <c r="H10" s="206"/>
      <c r="I10" s="206"/>
      <c r="J10" s="206"/>
      <c r="K10" s="206"/>
      <c r="L10" s="206"/>
      <c r="M10" s="206"/>
      <c r="N10" s="206"/>
      <c r="O10" s="206"/>
      <c r="P10" s="206"/>
      <c r="Q10" s="206"/>
      <c r="R10" s="206"/>
      <c r="S10" s="206"/>
      <c r="T10" s="206"/>
      <c r="U10" s="206"/>
      <c r="V10" s="206"/>
      <c r="W10" s="207"/>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9" t="s">
        <v>79</v>
      </c>
      <c r="D12" s="206"/>
      <c r="E12" s="206"/>
      <c r="F12" s="206"/>
      <c r="G12" s="206"/>
      <c r="H12" s="206"/>
      <c r="I12" s="206"/>
      <c r="J12" s="206"/>
      <c r="K12" s="206"/>
      <c r="L12" s="206"/>
      <c r="M12" s="206"/>
      <c r="N12" s="206"/>
      <c r="O12" s="206"/>
      <c r="P12" s="206"/>
      <c r="Q12" s="206"/>
      <c r="R12" s="206"/>
      <c r="S12" s="206"/>
      <c r="T12" s="206"/>
      <c r="U12" s="206"/>
      <c r="V12" s="206"/>
      <c r="W12" s="207"/>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8" t="s">
        <v>246</v>
      </c>
      <c r="D14" s="233"/>
      <c r="E14" s="233"/>
      <c r="F14" s="233"/>
      <c r="G14" s="233"/>
      <c r="H14" s="233"/>
      <c r="I14" s="233"/>
      <c r="J14" s="233"/>
      <c r="K14" s="233"/>
      <c r="L14" s="233"/>
      <c r="M14" s="233"/>
      <c r="N14" s="233"/>
      <c r="O14" s="233"/>
      <c r="P14" s="233"/>
      <c r="Q14" s="233"/>
      <c r="R14" s="233"/>
      <c r="S14" s="233"/>
      <c r="T14" s="233"/>
      <c r="U14" s="233"/>
      <c r="V14" s="233"/>
      <c r="W14" s="234"/>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80</v>
      </c>
      <c r="D16" s="71"/>
      <c r="E16" s="71"/>
      <c r="F16" s="71"/>
      <c r="G16" s="71"/>
      <c r="H16" s="71"/>
      <c r="I16" s="71"/>
      <c r="J16" s="71"/>
      <c r="K16" s="71"/>
      <c r="L16" s="14"/>
      <c r="M16" s="72" t="s">
        <v>81</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82</v>
      </c>
      <c r="D18" s="73"/>
      <c r="E18" s="274" t="s">
        <v>80</v>
      </c>
      <c r="F18" s="233"/>
      <c r="G18" s="233"/>
      <c r="H18" s="233"/>
      <c r="I18" s="233"/>
      <c r="J18" s="233"/>
      <c r="K18" s="234"/>
      <c r="L18" s="3"/>
      <c r="M18" s="74" t="s">
        <v>82</v>
      </c>
      <c r="N18" s="75"/>
      <c r="O18" s="283" t="s">
        <v>81</v>
      </c>
      <c r="P18" s="233"/>
      <c r="Q18" s="233"/>
      <c r="R18" s="233"/>
      <c r="S18" s="233"/>
      <c r="T18" s="233"/>
      <c r="U18" s="233"/>
      <c r="V18" s="233"/>
      <c r="W18" s="234"/>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83</v>
      </c>
      <c r="D20" s="73"/>
      <c r="E20" s="258" t="s">
        <v>356</v>
      </c>
      <c r="F20" s="233"/>
      <c r="G20" s="233"/>
      <c r="H20" s="233"/>
      <c r="I20" s="233"/>
      <c r="J20" s="233"/>
      <c r="K20" s="234"/>
      <c r="L20" s="3"/>
      <c r="M20" s="74" t="s">
        <v>83</v>
      </c>
      <c r="N20" s="75"/>
      <c r="O20" s="268" t="s">
        <v>248</v>
      </c>
      <c r="P20" s="233"/>
      <c r="Q20" s="233"/>
      <c r="R20" s="233"/>
      <c r="S20" s="233"/>
      <c r="T20" s="233"/>
      <c r="U20" s="233"/>
      <c r="V20" s="233"/>
      <c r="W20" s="234"/>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84</v>
      </c>
      <c r="D22" s="73"/>
      <c r="E22" s="272" t="s">
        <v>274</v>
      </c>
      <c r="F22" s="233"/>
      <c r="G22" s="233"/>
      <c r="H22" s="233"/>
      <c r="I22" s="233"/>
      <c r="J22" s="233"/>
      <c r="K22" s="234"/>
      <c r="L22" s="3"/>
      <c r="M22" s="74" t="s">
        <v>84</v>
      </c>
      <c r="N22" s="75"/>
      <c r="O22" s="276" t="s">
        <v>247</v>
      </c>
      <c r="P22" s="233"/>
      <c r="Q22" s="233"/>
      <c r="R22" s="233"/>
      <c r="S22" s="233"/>
      <c r="T22" s="233"/>
      <c r="U22" s="233"/>
      <c r="V22" s="233"/>
      <c r="W22" s="234"/>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85</v>
      </c>
      <c r="D24" s="73"/>
      <c r="E24" s="269" t="s">
        <v>213</v>
      </c>
      <c r="F24" s="233"/>
      <c r="G24" s="233"/>
      <c r="H24" s="233"/>
      <c r="I24" s="233"/>
      <c r="J24" s="233"/>
      <c r="K24" s="234"/>
      <c r="L24" s="3"/>
      <c r="M24" s="74" t="s">
        <v>85</v>
      </c>
      <c r="N24" s="75"/>
      <c r="O24" s="276" t="s">
        <v>200</v>
      </c>
      <c r="P24" s="233"/>
      <c r="Q24" s="233"/>
      <c r="R24" s="233"/>
      <c r="S24" s="233"/>
      <c r="T24" s="233"/>
      <c r="U24" s="233"/>
      <c r="V24" s="233"/>
      <c r="W24" s="234"/>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86</v>
      </c>
      <c r="D26" s="73"/>
      <c r="E26" s="272" t="s">
        <v>87</v>
      </c>
      <c r="F26" s="233"/>
      <c r="G26" s="233"/>
      <c r="H26" s="233"/>
      <c r="I26" s="233"/>
      <c r="J26" s="233"/>
      <c r="K26" s="234"/>
      <c r="L26" s="3"/>
      <c r="M26" s="74" t="s">
        <v>86</v>
      </c>
      <c r="N26" s="75"/>
      <c r="O26" s="276" t="s">
        <v>201</v>
      </c>
      <c r="P26" s="233"/>
      <c r="Q26" s="233"/>
      <c r="R26" s="233"/>
      <c r="S26" s="233"/>
      <c r="T26" s="233"/>
      <c r="U26" s="233"/>
      <c r="V26" s="233"/>
      <c r="W26" s="234"/>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88</v>
      </c>
      <c r="D28" s="73"/>
      <c r="E28" s="277" t="s">
        <v>275</v>
      </c>
      <c r="F28" s="233"/>
      <c r="G28" s="233"/>
      <c r="H28" s="233"/>
      <c r="I28" s="233"/>
      <c r="J28" s="233"/>
      <c r="K28" s="234"/>
      <c r="L28" s="3"/>
      <c r="M28" s="74" t="s">
        <v>88</v>
      </c>
      <c r="N28" s="75"/>
      <c r="O28" s="268" t="s">
        <v>216</v>
      </c>
      <c r="P28" s="233"/>
      <c r="Q28" s="233"/>
      <c r="R28" s="233"/>
      <c r="S28" s="233"/>
      <c r="T28" s="233"/>
      <c r="U28" s="233"/>
      <c r="V28" s="233"/>
      <c r="W28" s="234"/>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89</v>
      </c>
      <c r="D30" s="73"/>
      <c r="E30" s="269" t="s">
        <v>242</v>
      </c>
      <c r="F30" s="233"/>
      <c r="G30" s="233"/>
      <c r="H30" s="233"/>
      <c r="I30" s="233"/>
      <c r="J30" s="233"/>
      <c r="K30" s="234"/>
      <c r="L30" s="3"/>
      <c r="M30" s="74" t="s">
        <v>89</v>
      </c>
      <c r="N30" s="75"/>
      <c r="O30" s="278" t="s">
        <v>202</v>
      </c>
      <c r="P30" s="279"/>
      <c r="Q30" s="279"/>
      <c r="R30" s="279"/>
      <c r="S30" s="279"/>
      <c r="T30" s="279"/>
      <c r="U30" s="279"/>
      <c r="V30" s="279"/>
      <c r="W30" s="280"/>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90</v>
      </c>
      <c r="D32" s="78"/>
      <c r="E32" s="78"/>
      <c r="F32" s="78"/>
      <c r="G32" s="78"/>
      <c r="H32" s="78"/>
      <c r="I32" s="78"/>
      <c r="J32" s="78"/>
      <c r="K32" s="78"/>
      <c r="L32" s="14"/>
      <c r="M32" s="273"/>
      <c r="N32" s="214"/>
      <c r="O32" s="214"/>
      <c r="P32" s="214"/>
      <c r="Q32" s="214"/>
      <c r="R32" s="214"/>
      <c r="S32" s="214"/>
      <c r="T32" s="214"/>
      <c r="U32" s="214"/>
      <c r="V32" s="214"/>
      <c r="W32" s="214"/>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82</v>
      </c>
      <c r="D34" s="79"/>
      <c r="E34" s="274" t="s">
        <v>90</v>
      </c>
      <c r="F34" s="233"/>
      <c r="G34" s="233"/>
      <c r="H34" s="233"/>
      <c r="I34" s="233"/>
      <c r="J34" s="233"/>
      <c r="K34" s="234"/>
      <c r="L34" s="3"/>
      <c r="M34" s="16"/>
      <c r="N34" s="16"/>
      <c r="O34" s="275"/>
      <c r="P34" s="214"/>
      <c r="Q34" s="214"/>
      <c r="R34" s="214"/>
      <c r="S34" s="214"/>
      <c r="T34" s="214"/>
      <c r="U34" s="214"/>
      <c r="V34" s="214"/>
      <c r="W34" s="214"/>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83</v>
      </c>
      <c r="D36" s="79"/>
      <c r="E36" s="269" t="s">
        <v>243</v>
      </c>
      <c r="F36" s="233"/>
      <c r="G36" s="233"/>
      <c r="H36" s="233"/>
      <c r="I36" s="233"/>
      <c r="J36" s="233"/>
      <c r="K36" s="234"/>
      <c r="L36" s="3"/>
      <c r="M36" s="16"/>
      <c r="N36" s="16"/>
      <c r="O36" s="270"/>
      <c r="P36" s="214"/>
      <c r="Q36" s="214"/>
      <c r="R36" s="214"/>
      <c r="S36" s="214"/>
      <c r="T36" s="214"/>
      <c r="U36" s="214"/>
      <c r="V36" s="214"/>
      <c r="W36" s="214"/>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84</v>
      </c>
      <c r="D38" s="79"/>
      <c r="E38" s="269" t="s">
        <v>245</v>
      </c>
      <c r="F38" s="233"/>
      <c r="G38" s="233"/>
      <c r="H38" s="233"/>
      <c r="I38" s="233"/>
      <c r="J38" s="233"/>
      <c r="K38" s="234"/>
      <c r="L38" s="3"/>
      <c r="M38" s="16"/>
      <c r="N38" s="16"/>
      <c r="O38" s="270"/>
      <c r="P38" s="214"/>
      <c r="Q38" s="214"/>
      <c r="R38" s="214"/>
      <c r="S38" s="214"/>
      <c r="T38" s="214"/>
      <c r="U38" s="214"/>
      <c r="V38" s="214"/>
      <c r="W38" s="214"/>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85</v>
      </c>
      <c r="D40" s="79"/>
      <c r="E40" s="269" t="s">
        <v>224</v>
      </c>
      <c r="F40" s="233"/>
      <c r="G40" s="233"/>
      <c r="H40" s="233"/>
      <c r="I40" s="233"/>
      <c r="J40" s="233"/>
      <c r="K40" s="234"/>
      <c r="L40" s="3"/>
      <c r="M40" s="16"/>
      <c r="N40" s="16"/>
      <c r="O40" s="270"/>
      <c r="P40" s="214"/>
      <c r="Q40" s="214"/>
      <c r="R40" s="214"/>
      <c r="S40" s="214"/>
      <c r="T40" s="214"/>
      <c r="U40" s="214"/>
      <c r="V40" s="214"/>
      <c r="W40" s="214"/>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86</v>
      </c>
      <c r="D42" s="79"/>
      <c r="E42" s="272" t="s">
        <v>244</v>
      </c>
      <c r="F42" s="233"/>
      <c r="G42" s="233"/>
      <c r="H42" s="233"/>
      <c r="I42" s="233"/>
      <c r="J42" s="233"/>
      <c r="K42" s="234"/>
      <c r="L42" s="3"/>
      <c r="M42" s="16"/>
      <c r="N42" s="16"/>
      <c r="O42" s="270"/>
      <c r="P42" s="214"/>
      <c r="Q42" s="214"/>
      <c r="R42" s="214"/>
      <c r="S42" s="214"/>
      <c r="T42" s="214"/>
      <c r="U42" s="214"/>
      <c r="V42" s="214"/>
      <c r="W42" s="214"/>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88</v>
      </c>
      <c r="D44" s="79"/>
      <c r="E44" s="268" t="s">
        <v>214</v>
      </c>
      <c r="F44" s="233"/>
      <c r="G44" s="233"/>
      <c r="H44" s="233"/>
      <c r="I44" s="233"/>
      <c r="J44" s="233"/>
      <c r="K44" s="234"/>
      <c r="L44" s="3"/>
      <c r="M44" s="16"/>
      <c r="N44" s="16"/>
      <c r="O44" s="270"/>
      <c r="P44" s="214"/>
      <c r="Q44" s="214"/>
      <c r="R44" s="214"/>
      <c r="S44" s="214"/>
      <c r="T44" s="214"/>
      <c r="U44" s="214"/>
      <c r="V44" s="214"/>
      <c r="W44" s="214"/>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89</v>
      </c>
      <c r="D46" s="79"/>
      <c r="E46" s="269" t="s">
        <v>224</v>
      </c>
      <c r="F46" s="233"/>
      <c r="G46" s="233"/>
      <c r="H46" s="233"/>
      <c r="I46" s="233"/>
      <c r="J46" s="233"/>
      <c r="K46" s="234"/>
      <c r="L46" s="3"/>
      <c r="M46" s="16"/>
      <c r="N46" s="16"/>
      <c r="O46" s="270"/>
      <c r="P46" s="214"/>
      <c r="Q46" s="214"/>
      <c r="R46" s="214"/>
      <c r="S46" s="214"/>
      <c r="T46" s="214"/>
      <c r="U46" s="214"/>
      <c r="V46" s="214"/>
      <c r="W46" s="214"/>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71" t="s">
        <v>91</v>
      </c>
      <c r="D48" s="206"/>
      <c r="E48" s="206"/>
      <c r="F48" s="206"/>
      <c r="G48" s="206"/>
      <c r="H48" s="206"/>
      <c r="I48" s="206"/>
      <c r="J48" s="206"/>
      <c r="K48" s="206"/>
      <c r="L48" s="206"/>
      <c r="M48" s="206"/>
      <c r="N48" s="206"/>
      <c r="O48" s="206"/>
      <c r="P48" s="206"/>
      <c r="Q48" s="206"/>
      <c r="R48" s="206"/>
      <c r="S48" s="206"/>
      <c r="T48" s="206"/>
      <c r="U48" s="207"/>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scale="44"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AB1000"/>
  <sheetViews>
    <sheetView showGridLines="0" topLeftCell="A59" zoomScale="90" zoomScaleNormal="90" workbookViewId="0">
      <selection activeCell="M64" sqref="M64:R64"/>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208" t="s">
        <v>92</v>
      </c>
      <c r="B1" s="206"/>
      <c r="C1" s="206"/>
      <c r="D1" s="206"/>
      <c r="E1" s="206"/>
      <c r="F1" s="206"/>
      <c r="G1" s="206"/>
      <c r="H1" s="206"/>
      <c r="I1" s="206"/>
      <c r="J1" s="206"/>
      <c r="K1" s="206"/>
      <c r="L1" s="206"/>
      <c r="M1" s="206"/>
      <c r="N1" s="206"/>
      <c r="O1" s="206"/>
      <c r="P1" s="206"/>
      <c r="Q1" s="206"/>
      <c r="R1" s="206"/>
      <c r="S1" s="206"/>
      <c r="T1" s="206"/>
      <c r="U1" s="206"/>
      <c r="V1" s="206"/>
      <c r="W1" s="206"/>
      <c r="X1" s="207"/>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10" t="s">
        <v>2</v>
      </c>
      <c r="B4" s="211"/>
      <c r="C4" s="212"/>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13"/>
      <c r="B5" s="214"/>
      <c r="C5" s="215"/>
      <c r="D5" s="6"/>
      <c r="E5" s="308" t="str">
        <f>'1. Résumé'!E6</f>
        <v xml:space="preserve">FKT 02/18 Ampasy </v>
      </c>
      <c r="F5" s="206"/>
      <c r="G5" s="206"/>
      <c r="H5" s="206"/>
      <c r="I5" s="207"/>
      <c r="J5" s="7"/>
      <c r="K5" s="267" t="str">
        <f>'1. Résumé'!G8</f>
        <v>Pays : Madagascar</v>
      </c>
      <c r="L5" s="206"/>
      <c r="M5" s="206"/>
      <c r="N5" s="206"/>
      <c r="O5" s="207"/>
      <c r="P5" s="7"/>
      <c r="Q5" s="7"/>
      <c r="R5" s="267" t="str">
        <f>'1. Résumé'!E10</f>
        <v>Société nationale : Croix-Rouge Malagasy</v>
      </c>
      <c r="S5" s="206"/>
      <c r="T5" s="206"/>
      <c r="U5" s="206"/>
      <c r="V5" s="207"/>
      <c r="W5" s="7"/>
      <c r="X5" s="7"/>
      <c r="Y5" s="3"/>
      <c r="Z5" s="3"/>
      <c r="AA5" s="3"/>
      <c r="AB5" s="3"/>
    </row>
    <row r="6" spans="1:28" ht="9.75" customHeight="1" x14ac:dyDescent="0.3">
      <c r="A6" s="216"/>
      <c r="B6" s="217"/>
      <c r="C6" s="218"/>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81" t="s">
        <v>93</v>
      </c>
      <c r="B8" s="206"/>
      <c r="C8" s="206"/>
      <c r="D8" s="206"/>
      <c r="E8" s="206"/>
      <c r="F8" s="206"/>
      <c r="G8" s="206"/>
      <c r="H8" s="206"/>
      <c r="I8" s="206"/>
      <c r="J8" s="206"/>
      <c r="K8" s="206"/>
      <c r="L8" s="206"/>
      <c r="M8" s="206"/>
      <c r="N8" s="206"/>
      <c r="O8" s="206"/>
      <c r="P8" s="206"/>
      <c r="Q8" s="206"/>
      <c r="R8" s="206"/>
      <c r="S8" s="206"/>
      <c r="T8" s="206"/>
      <c r="U8" s="206"/>
      <c r="V8" s="206"/>
      <c r="W8" s="206"/>
      <c r="X8" s="207"/>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9" t="s">
        <v>94</v>
      </c>
      <c r="D10" s="206"/>
      <c r="E10" s="206"/>
      <c r="F10" s="206"/>
      <c r="G10" s="206"/>
      <c r="H10" s="206"/>
      <c r="I10" s="206"/>
      <c r="J10" s="206"/>
      <c r="K10" s="206"/>
      <c r="L10" s="206"/>
      <c r="M10" s="206"/>
      <c r="N10" s="206"/>
      <c r="O10" s="206"/>
      <c r="P10" s="206"/>
      <c r="Q10" s="206"/>
      <c r="R10" s="206"/>
      <c r="S10" s="206"/>
      <c r="T10" s="206"/>
      <c r="U10" s="206"/>
      <c r="V10" s="207"/>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8" t="s">
        <v>221</v>
      </c>
      <c r="D12" s="259"/>
      <c r="E12" s="259"/>
      <c r="F12" s="259"/>
      <c r="G12" s="259"/>
      <c r="H12" s="259"/>
      <c r="I12" s="259"/>
      <c r="J12" s="259"/>
      <c r="K12" s="259"/>
      <c r="L12" s="259"/>
      <c r="M12" s="259"/>
      <c r="N12" s="259"/>
      <c r="O12" s="259"/>
      <c r="P12" s="259"/>
      <c r="Q12" s="259"/>
      <c r="R12" s="259"/>
      <c r="S12" s="259"/>
      <c r="T12" s="259"/>
      <c r="U12" s="259"/>
      <c r="V12" s="260"/>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95</v>
      </c>
      <c r="B14" s="3"/>
      <c r="C14" s="309" t="s">
        <v>96</v>
      </c>
      <c r="D14" s="206"/>
      <c r="E14" s="206"/>
      <c r="F14" s="206"/>
      <c r="G14" s="206"/>
      <c r="H14" s="206"/>
      <c r="I14" s="206"/>
      <c r="J14" s="206"/>
      <c r="K14" s="207"/>
      <c r="L14" s="85"/>
      <c r="M14" s="309" t="s">
        <v>97</v>
      </c>
      <c r="N14" s="206"/>
      <c r="O14" s="206"/>
      <c r="P14" s="206"/>
      <c r="Q14" s="206"/>
      <c r="R14" s="206"/>
      <c r="S14" s="206"/>
      <c r="T14" s="206"/>
      <c r="U14" s="206"/>
      <c r="V14" s="207"/>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98</v>
      </c>
      <c r="D16" s="86"/>
      <c r="E16" s="258" t="s">
        <v>249</v>
      </c>
      <c r="F16" s="233"/>
      <c r="G16" s="233"/>
      <c r="H16" s="233"/>
      <c r="I16" s="233"/>
      <c r="J16" s="233"/>
      <c r="K16" s="234"/>
      <c r="L16" s="3"/>
      <c r="M16" s="87" t="s">
        <v>98</v>
      </c>
      <c r="N16" s="88"/>
      <c r="O16" s="258" t="s">
        <v>329</v>
      </c>
      <c r="P16" s="233"/>
      <c r="Q16" s="233"/>
      <c r="R16" s="233"/>
      <c r="S16" s="233"/>
      <c r="T16" s="233"/>
      <c r="U16" s="233"/>
      <c r="V16" s="234"/>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100</v>
      </c>
      <c r="D18" s="86"/>
      <c r="E18" s="258" t="s">
        <v>327</v>
      </c>
      <c r="F18" s="233"/>
      <c r="G18" s="233"/>
      <c r="H18" s="233"/>
      <c r="I18" s="233"/>
      <c r="J18" s="233"/>
      <c r="K18" s="234"/>
      <c r="L18" s="3"/>
      <c r="M18" s="87" t="s">
        <v>100</v>
      </c>
      <c r="N18" s="88"/>
      <c r="O18" s="268" t="s">
        <v>328</v>
      </c>
      <c r="P18" s="233"/>
      <c r="Q18" s="233"/>
      <c r="R18" s="233"/>
      <c r="S18" s="233"/>
      <c r="T18" s="233"/>
      <c r="U18" s="233"/>
      <c r="V18" s="234"/>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101</v>
      </c>
      <c r="D20" s="86"/>
      <c r="E20" s="258" t="s">
        <v>99</v>
      </c>
      <c r="F20" s="233"/>
      <c r="G20" s="233"/>
      <c r="H20" s="233"/>
      <c r="I20" s="233"/>
      <c r="J20" s="233"/>
      <c r="K20" s="234"/>
      <c r="L20" s="3"/>
      <c r="M20" s="87" t="s">
        <v>101</v>
      </c>
      <c r="N20" s="88"/>
      <c r="O20" s="268" t="s">
        <v>99</v>
      </c>
      <c r="P20" s="233"/>
      <c r="Q20" s="233"/>
      <c r="R20" s="233"/>
      <c r="S20" s="233"/>
      <c r="T20" s="233"/>
      <c r="U20" s="233"/>
      <c r="V20" s="234"/>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102</v>
      </c>
      <c r="D22" s="86"/>
      <c r="E22" s="258" t="s">
        <v>99</v>
      </c>
      <c r="F22" s="233"/>
      <c r="G22" s="233"/>
      <c r="H22" s="233"/>
      <c r="I22" s="233"/>
      <c r="J22" s="233"/>
      <c r="K22" s="234"/>
      <c r="L22" s="3"/>
      <c r="M22" s="87" t="s">
        <v>102</v>
      </c>
      <c r="N22" s="88"/>
      <c r="O22" s="268" t="s">
        <v>99</v>
      </c>
      <c r="P22" s="233"/>
      <c r="Q22" s="233"/>
      <c r="R22" s="233"/>
      <c r="S22" s="233"/>
      <c r="T22" s="233"/>
      <c r="U22" s="233"/>
      <c r="V22" s="234"/>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tr">
        <f>'3. Dangers'!C16</f>
        <v xml:space="preserve">Inondation </v>
      </c>
      <c r="D24" s="89"/>
      <c r="E24" s="307"/>
      <c r="F24" s="206"/>
      <c r="G24" s="206"/>
      <c r="H24" s="206"/>
      <c r="I24" s="206"/>
      <c r="J24" s="206"/>
      <c r="K24" s="207"/>
      <c r="L24" s="90"/>
      <c r="M24" s="91"/>
      <c r="N24" s="90"/>
      <c r="O24" s="90"/>
      <c r="P24" s="90"/>
      <c r="Q24" s="90"/>
      <c r="R24" s="90"/>
      <c r="S24" s="90"/>
      <c r="T24" s="90"/>
      <c r="U24" s="90"/>
      <c r="V24" s="90"/>
      <c r="W24" s="3"/>
      <c r="X24" s="4"/>
      <c r="Y24" s="3"/>
      <c r="Z24" s="3"/>
      <c r="AA24" s="3"/>
      <c r="AB24" s="3"/>
    </row>
    <row r="25" spans="1:28" ht="12" customHeight="1" x14ac:dyDescent="0.3">
      <c r="A25" s="4"/>
      <c r="B25" s="3"/>
      <c r="C25" s="301"/>
      <c r="D25" s="203"/>
      <c r="E25" s="203"/>
      <c r="F25" s="203"/>
      <c r="G25" s="203"/>
      <c r="H25" s="203"/>
      <c r="I25" s="203"/>
      <c r="J25" s="203"/>
      <c r="K25" s="203"/>
      <c r="L25" s="203"/>
      <c r="M25" s="203"/>
      <c r="N25" s="203"/>
      <c r="O25" s="203"/>
      <c r="P25" s="203"/>
      <c r="Q25" s="203"/>
      <c r="R25" s="203"/>
      <c r="S25" s="203"/>
      <c r="T25" s="203"/>
      <c r="U25" s="203"/>
      <c r="V25" s="204"/>
      <c r="W25" s="3"/>
      <c r="X25" s="4"/>
      <c r="Y25" s="3"/>
      <c r="Z25" s="3"/>
      <c r="AA25" s="3"/>
      <c r="AB25" s="3"/>
    </row>
    <row r="26" spans="1:28" ht="31.5" customHeight="1" x14ac:dyDescent="0.3">
      <c r="A26" s="4"/>
      <c r="B26" s="3"/>
      <c r="C26" s="306" t="s">
        <v>104</v>
      </c>
      <c r="D26" s="203"/>
      <c r="E26" s="203"/>
      <c r="F26" s="203"/>
      <c r="G26" s="203"/>
      <c r="H26" s="203"/>
      <c r="I26" s="203"/>
      <c r="J26" s="203"/>
      <c r="K26" s="203"/>
      <c r="L26" s="203"/>
      <c r="M26" s="203"/>
      <c r="N26" s="203"/>
      <c r="O26" s="203"/>
      <c r="P26" s="203"/>
      <c r="Q26" s="203"/>
      <c r="R26" s="203"/>
      <c r="S26" s="203"/>
      <c r="T26" s="203"/>
      <c r="U26" s="203"/>
      <c r="V26" s="204"/>
      <c r="W26" s="3"/>
      <c r="X26" s="4"/>
      <c r="Y26" s="3"/>
      <c r="Z26" s="3"/>
      <c r="AA26" s="3"/>
      <c r="AB26" s="3"/>
    </row>
    <row r="27" spans="1:28" ht="12" customHeight="1" x14ac:dyDescent="0.3">
      <c r="A27" s="4"/>
      <c r="B27" s="3"/>
      <c r="C27" s="301"/>
      <c r="D27" s="203"/>
      <c r="E27" s="203"/>
      <c r="F27" s="203"/>
      <c r="G27" s="203"/>
      <c r="H27" s="203"/>
      <c r="I27" s="203"/>
      <c r="J27" s="203"/>
      <c r="K27" s="203"/>
      <c r="L27" s="203"/>
      <c r="M27" s="203"/>
      <c r="N27" s="203"/>
      <c r="O27" s="203"/>
      <c r="P27" s="203"/>
      <c r="Q27" s="203"/>
      <c r="R27" s="203"/>
      <c r="S27" s="203"/>
      <c r="T27" s="203"/>
      <c r="U27" s="203"/>
      <c r="V27" s="204"/>
      <c r="W27" s="3"/>
      <c r="X27" s="4"/>
      <c r="Y27" s="3"/>
      <c r="Z27" s="3"/>
      <c r="AA27" s="3"/>
      <c r="AB27" s="3"/>
    </row>
    <row r="28" spans="1:28" ht="49.5" customHeight="1" x14ac:dyDescent="0.3">
      <c r="A28" s="4"/>
      <c r="B28" s="3"/>
      <c r="C28" s="299" t="s">
        <v>13</v>
      </c>
      <c r="D28" s="203"/>
      <c r="E28" s="204"/>
      <c r="F28" s="29"/>
      <c r="G28" s="295" t="s">
        <v>105</v>
      </c>
      <c r="H28" s="221"/>
      <c r="I28" s="221"/>
      <c r="J28" s="221"/>
      <c r="K28" s="296"/>
      <c r="L28" s="29"/>
      <c r="M28" s="295" t="s">
        <v>251</v>
      </c>
      <c r="N28" s="221"/>
      <c r="O28" s="221"/>
      <c r="P28" s="221"/>
      <c r="Q28" s="221"/>
      <c r="R28" s="296"/>
      <c r="S28" s="295" t="s">
        <v>106</v>
      </c>
      <c r="T28" s="221"/>
      <c r="U28" s="296"/>
      <c r="V28" s="92" t="s">
        <v>107</v>
      </c>
      <c r="W28" s="3"/>
      <c r="X28" s="4"/>
      <c r="Y28" s="3"/>
      <c r="Z28" s="3"/>
      <c r="AA28" s="3"/>
      <c r="AB28" s="3"/>
    </row>
    <row r="29" spans="1:28" ht="41.25" customHeight="1" x14ac:dyDescent="0.3">
      <c r="A29" s="4"/>
      <c r="B29" s="3"/>
      <c r="C29" s="297" t="s">
        <v>15</v>
      </c>
      <c r="D29" s="203"/>
      <c r="E29" s="204"/>
      <c r="F29" s="39"/>
      <c r="G29" s="258" t="s">
        <v>250</v>
      </c>
      <c r="H29" s="233"/>
      <c r="I29" s="233"/>
      <c r="J29" s="233"/>
      <c r="K29" s="234"/>
      <c r="L29" s="93"/>
      <c r="M29" s="258" t="s">
        <v>255</v>
      </c>
      <c r="N29" s="233"/>
      <c r="O29" s="233"/>
      <c r="P29" s="233"/>
      <c r="Q29" s="233"/>
      <c r="R29" s="234"/>
      <c r="S29" s="291" t="s">
        <v>109</v>
      </c>
      <c r="T29" s="233"/>
      <c r="U29" s="234"/>
      <c r="V29" s="94">
        <f t="shared" ref="V29:V38" si="0">IF(S29="---","",VLOOKUP(S29,$C$69:$D$72,2,FALSE))</f>
        <v>1</v>
      </c>
      <c r="W29" s="3"/>
      <c r="X29" s="4"/>
      <c r="Y29" s="3"/>
      <c r="Z29" s="3"/>
      <c r="AA29" s="3"/>
      <c r="AB29" s="3"/>
    </row>
    <row r="30" spans="1:28" ht="49.5" customHeight="1" x14ac:dyDescent="0.3">
      <c r="A30" s="4"/>
      <c r="B30" s="3"/>
      <c r="C30" s="298" t="s">
        <v>16</v>
      </c>
      <c r="D30" s="203"/>
      <c r="E30" s="204"/>
      <c r="F30" s="39"/>
      <c r="G30" s="238" t="s">
        <v>354</v>
      </c>
      <c r="H30" s="233"/>
      <c r="I30" s="233"/>
      <c r="J30" s="233"/>
      <c r="K30" s="234"/>
      <c r="L30" s="93"/>
      <c r="M30" s="288" t="s">
        <v>256</v>
      </c>
      <c r="N30" s="233"/>
      <c r="O30" s="233"/>
      <c r="P30" s="233"/>
      <c r="Q30" s="233"/>
      <c r="R30" s="234"/>
      <c r="S30" s="289" t="s">
        <v>109</v>
      </c>
      <c r="T30" s="233"/>
      <c r="U30" s="234"/>
      <c r="V30" s="94">
        <f t="shared" si="0"/>
        <v>1</v>
      </c>
      <c r="W30" s="3"/>
      <c r="X30" s="4"/>
      <c r="Y30" s="3"/>
      <c r="Z30" s="3"/>
      <c r="AA30" s="3"/>
      <c r="AB30" s="3"/>
    </row>
    <row r="31" spans="1:28" ht="49.5" customHeight="1" x14ac:dyDescent="0.3">
      <c r="A31" s="4"/>
      <c r="B31" s="3"/>
      <c r="C31" s="297" t="s">
        <v>17</v>
      </c>
      <c r="D31" s="203"/>
      <c r="E31" s="204"/>
      <c r="F31" s="39"/>
      <c r="G31" s="258" t="s">
        <v>259</v>
      </c>
      <c r="H31" s="233"/>
      <c r="I31" s="233"/>
      <c r="J31" s="233"/>
      <c r="K31" s="234"/>
      <c r="L31" s="93"/>
      <c r="M31" s="272" t="s">
        <v>337</v>
      </c>
      <c r="N31" s="233"/>
      <c r="O31" s="233"/>
      <c r="P31" s="233"/>
      <c r="Q31" s="233"/>
      <c r="R31" s="234"/>
      <c r="S31" s="291" t="s">
        <v>109</v>
      </c>
      <c r="T31" s="233"/>
      <c r="U31" s="234"/>
      <c r="V31" s="94">
        <f t="shared" si="0"/>
        <v>1</v>
      </c>
      <c r="W31" s="3"/>
      <c r="X31" s="4"/>
      <c r="Y31" s="3"/>
      <c r="Z31" s="3"/>
      <c r="AA31" s="3"/>
      <c r="AB31" s="3"/>
    </row>
    <row r="32" spans="1:28" ht="49.5" customHeight="1" x14ac:dyDescent="0.3">
      <c r="A32" s="4"/>
      <c r="B32" s="3"/>
      <c r="C32" s="298" t="s">
        <v>110</v>
      </c>
      <c r="D32" s="203"/>
      <c r="E32" s="204"/>
      <c r="F32" s="39"/>
      <c r="G32" s="238" t="s">
        <v>254</v>
      </c>
      <c r="H32" s="233"/>
      <c r="I32" s="233"/>
      <c r="J32" s="233"/>
      <c r="K32" s="234"/>
      <c r="L32" s="93"/>
      <c r="M32" s="238" t="s">
        <v>252</v>
      </c>
      <c r="N32" s="233"/>
      <c r="O32" s="233"/>
      <c r="P32" s="233"/>
      <c r="Q32" s="233"/>
      <c r="R32" s="234"/>
      <c r="S32" s="289" t="s">
        <v>108</v>
      </c>
      <c r="T32" s="233"/>
      <c r="U32" s="234"/>
      <c r="V32" s="94">
        <f t="shared" si="0"/>
        <v>0.67</v>
      </c>
      <c r="W32" s="3"/>
      <c r="X32" s="4"/>
      <c r="Y32" s="3"/>
      <c r="Z32" s="3"/>
      <c r="AA32" s="3"/>
      <c r="AB32" s="3"/>
    </row>
    <row r="33" spans="1:28" ht="49.5" customHeight="1" x14ac:dyDescent="0.3">
      <c r="A33" s="4"/>
      <c r="B33" s="3"/>
      <c r="C33" s="297" t="s">
        <v>19</v>
      </c>
      <c r="D33" s="203"/>
      <c r="E33" s="204"/>
      <c r="F33" s="39"/>
      <c r="G33" s="258" t="s">
        <v>262</v>
      </c>
      <c r="H33" s="233"/>
      <c r="I33" s="233"/>
      <c r="J33" s="233"/>
      <c r="K33" s="234"/>
      <c r="L33" s="93"/>
      <c r="M33" s="258" t="s">
        <v>309</v>
      </c>
      <c r="N33" s="233"/>
      <c r="O33" s="233"/>
      <c r="P33" s="233"/>
      <c r="Q33" s="233"/>
      <c r="R33" s="234"/>
      <c r="S33" s="291" t="s">
        <v>108</v>
      </c>
      <c r="T33" s="233"/>
      <c r="U33" s="234"/>
      <c r="V33" s="94">
        <f t="shared" si="0"/>
        <v>0.67</v>
      </c>
      <c r="W33" s="3"/>
      <c r="X33" s="4"/>
      <c r="Y33" s="3"/>
      <c r="Z33" s="3"/>
      <c r="AA33" s="3"/>
      <c r="AB33" s="3"/>
    </row>
    <row r="34" spans="1:28" ht="93" customHeight="1" x14ac:dyDescent="0.3">
      <c r="A34" s="4"/>
      <c r="B34" s="3"/>
      <c r="C34" s="298" t="s">
        <v>112</v>
      </c>
      <c r="D34" s="203"/>
      <c r="E34" s="204"/>
      <c r="F34" s="39"/>
      <c r="G34" s="238" t="s">
        <v>261</v>
      </c>
      <c r="H34" s="233"/>
      <c r="I34" s="233"/>
      <c r="J34" s="233"/>
      <c r="K34" s="234"/>
      <c r="L34" s="93"/>
      <c r="M34" s="238" t="s">
        <v>258</v>
      </c>
      <c r="N34" s="233"/>
      <c r="O34" s="233"/>
      <c r="P34" s="233"/>
      <c r="Q34" s="233"/>
      <c r="R34" s="234"/>
      <c r="S34" s="289" t="s">
        <v>108</v>
      </c>
      <c r="T34" s="233"/>
      <c r="U34" s="234"/>
      <c r="V34" s="94">
        <f t="shared" si="0"/>
        <v>0.67</v>
      </c>
      <c r="W34" s="3"/>
      <c r="X34" s="4"/>
      <c r="Y34" s="3"/>
      <c r="Z34" s="3"/>
      <c r="AA34" s="3"/>
      <c r="AB34" s="3"/>
    </row>
    <row r="35" spans="1:28" ht="49.5" customHeight="1" x14ac:dyDescent="0.3">
      <c r="A35" s="4"/>
      <c r="B35" s="3"/>
      <c r="C35" s="297" t="s">
        <v>113</v>
      </c>
      <c r="D35" s="203"/>
      <c r="E35" s="204"/>
      <c r="F35" s="39"/>
      <c r="G35" s="258" t="s">
        <v>260</v>
      </c>
      <c r="H35" s="233"/>
      <c r="I35" s="233"/>
      <c r="J35" s="233"/>
      <c r="K35" s="234"/>
      <c r="L35" s="93"/>
      <c r="M35" s="258" t="s">
        <v>257</v>
      </c>
      <c r="N35" s="233"/>
      <c r="O35" s="233"/>
      <c r="P35" s="233"/>
      <c r="Q35" s="233"/>
      <c r="R35" s="234"/>
      <c r="S35" s="291" t="s">
        <v>109</v>
      </c>
      <c r="T35" s="233"/>
      <c r="U35" s="234"/>
      <c r="V35" s="94">
        <f t="shared" si="0"/>
        <v>1</v>
      </c>
      <c r="W35" s="3"/>
      <c r="X35" s="4"/>
      <c r="Y35" s="3"/>
      <c r="Z35" s="3"/>
      <c r="AA35" s="3"/>
      <c r="AB35" s="3"/>
    </row>
    <row r="36" spans="1:28" ht="49.5" customHeight="1" x14ac:dyDescent="0.3">
      <c r="A36" s="4"/>
      <c r="B36" s="3"/>
      <c r="C36" s="298" t="s">
        <v>114</v>
      </c>
      <c r="D36" s="203"/>
      <c r="E36" s="204"/>
      <c r="F36" s="39"/>
      <c r="G36" s="285" t="s">
        <v>253</v>
      </c>
      <c r="H36" s="233"/>
      <c r="I36" s="233"/>
      <c r="J36" s="233"/>
      <c r="K36" s="234"/>
      <c r="L36" s="93"/>
      <c r="M36" s="285" t="s">
        <v>307</v>
      </c>
      <c r="N36" s="233"/>
      <c r="O36" s="233"/>
      <c r="P36" s="233"/>
      <c r="Q36" s="233"/>
      <c r="R36" s="234"/>
      <c r="S36" s="289" t="s">
        <v>108</v>
      </c>
      <c r="T36" s="233"/>
      <c r="U36" s="234"/>
      <c r="V36" s="94">
        <f t="shared" si="0"/>
        <v>0.67</v>
      </c>
      <c r="W36" s="3"/>
      <c r="X36" s="4"/>
      <c r="Y36" s="3"/>
      <c r="Z36" s="3"/>
      <c r="AA36" s="3"/>
      <c r="AB36" s="3"/>
    </row>
    <row r="37" spans="1:28" ht="49.5" hidden="1" customHeight="1" x14ac:dyDescent="0.3">
      <c r="A37" s="4"/>
      <c r="B37" s="3"/>
      <c r="C37" s="298" t="s">
        <v>115</v>
      </c>
      <c r="D37" s="203"/>
      <c r="E37" s="204"/>
      <c r="F37" s="39"/>
      <c r="G37" s="290" t="e">
        <f t="shared" ref="G37:G38" si="1">#REF!</f>
        <v>#REF!</v>
      </c>
      <c r="H37" s="233"/>
      <c r="I37" s="233"/>
      <c r="J37" s="233"/>
      <c r="K37" s="234"/>
      <c r="L37" s="93"/>
      <c r="M37" s="290" t="e">
        <f t="shared" ref="M37:M38" si="2">#REF!</f>
        <v>#REF!</v>
      </c>
      <c r="N37" s="233"/>
      <c r="O37" s="233"/>
      <c r="P37" s="233"/>
      <c r="Q37" s="233"/>
      <c r="R37" s="234"/>
      <c r="S37" s="289" t="e">
        <f t="shared" ref="S37:S38" si="3">#REF!</f>
        <v>#REF!</v>
      </c>
      <c r="T37" s="233"/>
      <c r="U37" s="234"/>
      <c r="V37" s="94" t="e">
        <f t="shared" si="0"/>
        <v>#REF!</v>
      </c>
      <c r="W37" s="3"/>
      <c r="X37" s="4"/>
      <c r="Y37" s="3"/>
      <c r="Z37" s="3"/>
      <c r="AA37" s="3"/>
      <c r="AB37" s="3"/>
    </row>
    <row r="38" spans="1:28" ht="49.5" hidden="1" customHeight="1" x14ac:dyDescent="0.3">
      <c r="A38" s="4"/>
      <c r="B38" s="3"/>
      <c r="C38" s="297" t="s">
        <v>116</v>
      </c>
      <c r="D38" s="203"/>
      <c r="E38" s="204"/>
      <c r="F38" s="39"/>
      <c r="G38" s="284" t="e">
        <f t="shared" si="1"/>
        <v>#REF!</v>
      </c>
      <c r="H38" s="233"/>
      <c r="I38" s="233"/>
      <c r="J38" s="233"/>
      <c r="K38" s="234"/>
      <c r="L38" s="93"/>
      <c r="M38" s="284" t="e">
        <f t="shared" si="2"/>
        <v>#REF!</v>
      </c>
      <c r="N38" s="233"/>
      <c r="O38" s="233"/>
      <c r="P38" s="233"/>
      <c r="Q38" s="233"/>
      <c r="R38" s="234"/>
      <c r="S38" s="289" t="e">
        <f t="shared" si="3"/>
        <v>#REF!</v>
      </c>
      <c r="T38" s="233"/>
      <c r="U38" s="234"/>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305"/>
      <c r="F40" s="206"/>
      <c r="G40" s="206"/>
      <c r="H40" s="206"/>
      <c r="I40" s="206"/>
      <c r="J40" s="206"/>
      <c r="K40" s="207"/>
      <c r="L40" s="97"/>
      <c r="M40" s="98"/>
      <c r="N40" s="97"/>
      <c r="O40" s="97"/>
      <c r="P40" s="97"/>
      <c r="Q40" s="97"/>
      <c r="R40" s="97"/>
      <c r="S40" s="97"/>
      <c r="T40" s="97"/>
      <c r="U40" s="97"/>
      <c r="V40" s="97"/>
      <c r="W40" s="3"/>
      <c r="X40" s="4"/>
      <c r="Y40" s="3"/>
      <c r="Z40" s="3"/>
      <c r="AA40" s="3"/>
      <c r="AB40" s="3"/>
    </row>
    <row r="41" spans="1:28" ht="12" customHeight="1" x14ac:dyDescent="0.3">
      <c r="A41" s="4"/>
      <c r="B41" s="3"/>
      <c r="C41" s="301"/>
      <c r="D41" s="203"/>
      <c r="E41" s="203"/>
      <c r="F41" s="203"/>
      <c r="G41" s="203"/>
      <c r="H41" s="203"/>
      <c r="I41" s="203"/>
      <c r="J41" s="203"/>
      <c r="K41" s="203"/>
      <c r="L41" s="203"/>
      <c r="M41" s="203"/>
      <c r="N41" s="203"/>
      <c r="O41" s="203"/>
      <c r="P41" s="203"/>
      <c r="Q41" s="203"/>
      <c r="R41" s="203"/>
      <c r="S41" s="203"/>
      <c r="T41" s="203"/>
      <c r="U41" s="203"/>
      <c r="V41" s="204"/>
      <c r="W41" s="3"/>
      <c r="X41" s="4"/>
      <c r="Y41" s="3"/>
      <c r="Z41" s="3"/>
      <c r="AA41" s="3"/>
      <c r="AB41" s="3"/>
    </row>
    <row r="42" spans="1:28" ht="49.5" customHeight="1" x14ac:dyDescent="0.3">
      <c r="A42" s="4"/>
      <c r="B42" s="3"/>
      <c r="C42" s="299" t="s">
        <v>13</v>
      </c>
      <c r="D42" s="203"/>
      <c r="E42" s="204"/>
      <c r="F42" s="29"/>
      <c r="G42" s="295" t="s">
        <v>117</v>
      </c>
      <c r="H42" s="221"/>
      <c r="I42" s="221"/>
      <c r="J42" s="221"/>
      <c r="K42" s="296"/>
      <c r="L42" s="29"/>
      <c r="M42" s="295" t="s">
        <v>251</v>
      </c>
      <c r="N42" s="221"/>
      <c r="O42" s="221"/>
      <c r="P42" s="221"/>
      <c r="Q42" s="221"/>
      <c r="R42" s="296"/>
      <c r="S42" s="295" t="s">
        <v>118</v>
      </c>
      <c r="T42" s="221"/>
      <c r="U42" s="296"/>
      <c r="V42" s="92" t="s">
        <v>107</v>
      </c>
      <c r="W42" s="3"/>
      <c r="X42" s="4"/>
      <c r="Y42" s="3"/>
      <c r="Z42" s="3"/>
      <c r="AA42" s="3"/>
      <c r="AB42" s="3"/>
    </row>
    <row r="43" spans="1:28" ht="49.5" customHeight="1" x14ac:dyDescent="0.3">
      <c r="A43" s="4"/>
      <c r="B43" s="3"/>
      <c r="C43" s="297" t="s">
        <v>15</v>
      </c>
      <c r="D43" s="203"/>
      <c r="E43" s="204"/>
      <c r="F43" s="39"/>
      <c r="G43" s="302" t="s">
        <v>347</v>
      </c>
      <c r="H43" s="233"/>
      <c r="I43" s="233"/>
      <c r="J43" s="233"/>
      <c r="K43" s="234"/>
      <c r="L43" s="93"/>
      <c r="M43" s="258" t="s">
        <v>348</v>
      </c>
      <c r="N43" s="233"/>
      <c r="O43" s="233"/>
      <c r="P43" s="233"/>
      <c r="Q43" s="233"/>
      <c r="R43" s="234"/>
      <c r="S43" s="300" t="s">
        <v>109</v>
      </c>
      <c r="T43" s="233"/>
      <c r="U43" s="234"/>
      <c r="V43" s="94">
        <f t="shared" ref="V43:V52" si="4">IF(S43="---","",VLOOKUP(S43,$C$69:$D$72,2,FALSE))</f>
        <v>1</v>
      </c>
      <c r="W43" s="3"/>
      <c r="X43" s="4"/>
      <c r="Y43" s="3"/>
      <c r="Z43" s="3"/>
      <c r="AA43" s="3"/>
      <c r="AB43" s="3"/>
    </row>
    <row r="44" spans="1:28" ht="49.5" customHeight="1" x14ac:dyDescent="0.3">
      <c r="A44" s="4"/>
      <c r="B44" s="3"/>
      <c r="C44" s="298" t="s">
        <v>16</v>
      </c>
      <c r="D44" s="203"/>
      <c r="E44" s="204"/>
      <c r="F44" s="39"/>
      <c r="G44" s="238" t="s">
        <v>330</v>
      </c>
      <c r="H44" s="233"/>
      <c r="I44" s="233"/>
      <c r="J44" s="233"/>
      <c r="K44" s="234"/>
      <c r="L44" s="93"/>
      <c r="M44" s="238" t="s">
        <v>332</v>
      </c>
      <c r="N44" s="233"/>
      <c r="O44" s="233"/>
      <c r="P44" s="233"/>
      <c r="Q44" s="233"/>
      <c r="R44" s="234"/>
      <c r="S44" s="289" t="s">
        <v>109</v>
      </c>
      <c r="T44" s="233"/>
      <c r="U44" s="234"/>
      <c r="V44" s="94">
        <f t="shared" si="4"/>
        <v>1</v>
      </c>
      <c r="W44" s="3"/>
      <c r="X44" s="4"/>
      <c r="Y44" s="3"/>
      <c r="Z44" s="3"/>
      <c r="AA44" s="3"/>
      <c r="AB44" s="3"/>
    </row>
    <row r="45" spans="1:28" ht="49.5" customHeight="1" x14ac:dyDescent="0.3">
      <c r="A45" s="4"/>
      <c r="B45" s="3"/>
      <c r="C45" s="297" t="s">
        <v>17</v>
      </c>
      <c r="D45" s="203"/>
      <c r="E45" s="204"/>
      <c r="F45" s="39"/>
      <c r="G45" s="258" t="s">
        <v>349</v>
      </c>
      <c r="H45" s="233"/>
      <c r="I45" s="233"/>
      <c r="J45" s="233"/>
      <c r="K45" s="234"/>
      <c r="L45" s="93"/>
      <c r="M45" s="258" t="s">
        <v>355</v>
      </c>
      <c r="N45" s="233"/>
      <c r="O45" s="233"/>
      <c r="P45" s="233"/>
      <c r="Q45" s="233"/>
      <c r="R45" s="234"/>
      <c r="S45" s="291" t="s">
        <v>108</v>
      </c>
      <c r="T45" s="233"/>
      <c r="U45" s="234"/>
      <c r="V45" s="94">
        <f t="shared" si="4"/>
        <v>0.67</v>
      </c>
      <c r="W45" s="3"/>
      <c r="X45" s="4"/>
      <c r="Y45" s="3"/>
      <c r="Z45" s="3"/>
      <c r="AA45" s="3"/>
      <c r="AB45" s="3"/>
    </row>
    <row r="46" spans="1:28" ht="49.5" customHeight="1" x14ac:dyDescent="0.3">
      <c r="A46" s="4"/>
      <c r="B46" s="3"/>
      <c r="C46" s="298" t="s">
        <v>110</v>
      </c>
      <c r="D46" s="203"/>
      <c r="E46" s="204"/>
      <c r="F46" s="39"/>
      <c r="G46" s="238" t="s">
        <v>334</v>
      </c>
      <c r="H46" s="233"/>
      <c r="I46" s="233"/>
      <c r="J46" s="233"/>
      <c r="K46" s="234"/>
      <c r="L46" s="93"/>
      <c r="M46" s="238" t="s">
        <v>336</v>
      </c>
      <c r="N46" s="233"/>
      <c r="O46" s="233"/>
      <c r="P46" s="233"/>
      <c r="Q46" s="233"/>
      <c r="R46" s="234"/>
      <c r="S46" s="289" t="s">
        <v>108</v>
      </c>
      <c r="T46" s="233"/>
      <c r="U46" s="234"/>
      <c r="V46" s="94">
        <f t="shared" si="4"/>
        <v>0.67</v>
      </c>
      <c r="W46" s="3"/>
      <c r="X46" s="4"/>
      <c r="Y46" s="3"/>
      <c r="Z46" s="3"/>
      <c r="AA46" s="3"/>
      <c r="AB46" s="3"/>
    </row>
    <row r="47" spans="1:28" ht="49.5" customHeight="1" x14ac:dyDescent="0.3">
      <c r="A47" s="4"/>
      <c r="B47" s="3"/>
      <c r="C47" s="297" t="s">
        <v>19</v>
      </c>
      <c r="D47" s="203"/>
      <c r="E47" s="204"/>
      <c r="F47" s="39"/>
      <c r="G47" s="272" t="s">
        <v>310</v>
      </c>
      <c r="H47" s="233"/>
      <c r="I47" s="233"/>
      <c r="J47" s="233"/>
      <c r="K47" s="234"/>
      <c r="L47" s="93"/>
      <c r="M47" s="303" t="s">
        <v>308</v>
      </c>
      <c r="N47" s="233"/>
      <c r="O47" s="233"/>
      <c r="P47" s="233"/>
      <c r="Q47" s="233"/>
      <c r="R47" s="234"/>
      <c r="S47" s="291" t="s">
        <v>109</v>
      </c>
      <c r="T47" s="233"/>
      <c r="U47" s="234"/>
      <c r="V47" s="94">
        <f t="shared" si="4"/>
        <v>1</v>
      </c>
      <c r="W47" s="3"/>
      <c r="X47" s="4"/>
      <c r="Y47" s="3"/>
      <c r="Z47" s="3"/>
      <c r="AA47" s="3"/>
      <c r="AB47" s="3"/>
    </row>
    <row r="48" spans="1:28" ht="56.25" customHeight="1" x14ac:dyDescent="0.3">
      <c r="A48" s="4"/>
      <c r="B48" s="3"/>
      <c r="C48" s="298" t="s">
        <v>112</v>
      </c>
      <c r="D48" s="203"/>
      <c r="E48" s="204"/>
      <c r="F48" s="39"/>
      <c r="G48" s="238" t="s">
        <v>351</v>
      </c>
      <c r="H48" s="233"/>
      <c r="I48" s="233"/>
      <c r="J48" s="233"/>
      <c r="K48" s="234"/>
      <c r="L48" s="93"/>
      <c r="M48" s="238" t="s">
        <v>350</v>
      </c>
      <c r="N48" s="233"/>
      <c r="O48" s="233"/>
      <c r="P48" s="233"/>
      <c r="Q48" s="233"/>
      <c r="R48" s="234"/>
      <c r="S48" s="289" t="s">
        <v>108</v>
      </c>
      <c r="T48" s="233"/>
      <c r="U48" s="234"/>
      <c r="V48" s="94">
        <f t="shared" si="4"/>
        <v>0.67</v>
      </c>
      <c r="W48" s="3"/>
      <c r="X48" s="4"/>
      <c r="Y48" s="3"/>
      <c r="Z48" s="3"/>
      <c r="AA48" s="3"/>
      <c r="AB48" s="3"/>
    </row>
    <row r="49" spans="1:28" ht="65.25" customHeight="1" x14ac:dyDescent="0.3">
      <c r="A49" s="4"/>
      <c r="B49" s="3"/>
      <c r="C49" s="297" t="s">
        <v>113</v>
      </c>
      <c r="D49" s="203"/>
      <c r="E49" s="204"/>
      <c r="F49" s="39"/>
      <c r="G49" s="258" t="s">
        <v>335</v>
      </c>
      <c r="H49" s="233"/>
      <c r="I49" s="233"/>
      <c r="J49" s="233"/>
      <c r="K49" s="234"/>
      <c r="L49" s="93"/>
      <c r="M49" s="258" t="s">
        <v>352</v>
      </c>
      <c r="N49" s="233"/>
      <c r="O49" s="233"/>
      <c r="P49" s="233"/>
      <c r="Q49" s="233"/>
      <c r="R49" s="234"/>
      <c r="S49" s="291" t="s">
        <v>109</v>
      </c>
      <c r="T49" s="233"/>
      <c r="U49" s="234"/>
      <c r="V49" s="94">
        <f t="shared" si="4"/>
        <v>1</v>
      </c>
      <c r="W49" s="3"/>
      <c r="X49" s="4"/>
      <c r="Y49" s="3"/>
      <c r="Z49" s="3"/>
      <c r="AA49" s="3"/>
      <c r="AB49" s="3"/>
    </row>
    <row r="50" spans="1:28" ht="49.5" customHeight="1" x14ac:dyDescent="0.3">
      <c r="A50" s="4"/>
      <c r="B50" s="3"/>
      <c r="C50" s="298" t="s">
        <v>114</v>
      </c>
      <c r="D50" s="203"/>
      <c r="E50" s="204"/>
      <c r="F50" s="39"/>
      <c r="G50" s="288" t="s">
        <v>305</v>
      </c>
      <c r="H50" s="233"/>
      <c r="I50" s="233"/>
      <c r="J50" s="233"/>
      <c r="K50" s="234"/>
      <c r="L50" s="93"/>
      <c r="M50" s="288" t="s">
        <v>306</v>
      </c>
      <c r="N50" s="233"/>
      <c r="O50" s="233"/>
      <c r="P50" s="233"/>
      <c r="Q50" s="233"/>
      <c r="R50" s="234"/>
      <c r="S50" s="289" t="s">
        <v>108</v>
      </c>
      <c r="T50" s="233"/>
      <c r="U50" s="234"/>
      <c r="V50" s="94">
        <f t="shared" si="4"/>
        <v>0.67</v>
      </c>
      <c r="W50" s="3"/>
      <c r="X50" s="4"/>
      <c r="Y50" s="3"/>
      <c r="Z50" s="3"/>
      <c r="AA50" s="3"/>
      <c r="AB50" s="3"/>
    </row>
    <row r="51" spans="1:28" ht="49.5" hidden="1" customHeight="1" x14ac:dyDescent="0.3">
      <c r="A51" s="4"/>
      <c r="B51" s="3"/>
      <c r="C51" s="298" t="s">
        <v>115</v>
      </c>
      <c r="D51" s="203"/>
      <c r="E51" s="204"/>
      <c r="F51" s="39"/>
      <c r="G51" s="290" t="e">
        <f t="shared" ref="G51:G52" si="5">G37</f>
        <v>#REF!</v>
      </c>
      <c r="H51" s="233"/>
      <c r="I51" s="233"/>
      <c r="J51" s="233"/>
      <c r="K51" s="234"/>
      <c r="L51" s="93"/>
      <c r="M51" s="290" t="e">
        <f t="shared" ref="M51:M52" si="6">M37</f>
        <v>#REF!</v>
      </c>
      <c r="N51" s="233"/>
      <c r="O51" s="233"/>
      <c r="P51" s="233"/>
      <c r="Q51" s="233"/>
      <c r="R51" s="234"/>
      <c r="S51" s="291" t="s">
        <v>119</v>
      </c>
      <c r="T51" s="233"/>
      <c r="U51" s="234"/>
      <c r="V51" s="94" t="str">
        <f t="shared" si="4"/>
        <v/>
      </c>
      <c r="W51" s="3"/>
      <c r="X51" s="4"/>
      <c r="Y51" s="3"/>
      <c r="Z51" s="3"/>
      <c r="AA51" s="3"/>
      <c r="AB51" s="3"/>
    </row>
    <row r="52" spans="1:28" ht="49.5" hidden="1" customHeight="1" x14ac:dyDescent="0.3">
      <c r="A52" s="4"/>
      <c r="B52" s="3"/>
      <c r="C52" s="297" t="s">
        <v>116</v>
      </c>
      <c r="D52" s="203"/>
      <c r="E52" s="204"/>
      <c r="F52" s="39"/>
      <c r="G52" s="284" t="e">
        <f t="shared" si="5"/>
        <v>#REF!</v>
      </c>
      <c r="H52" s="233"/>
      <c r="I52" s="233"/>
      <c r="J52" s="233"/>
      <c r="K52" s="234"/>
      <c r="L52" s="93"/>
      <c r="M52" s="284" t="e">
        <f t="shared" si="6"/>
        <v>#REF!</v>
      </c>
      <c r="N52" s="233"/>
      <c r="O52" s="233"/>
      <c r="P52" s="233"/>
      <c r="Q52" s="233"/>
      <c r="R52" s="234"/>
      <c r="S52" s="291" t="s">
        <v>119</v>
      </c>
      <c r="T52" s="233"/>
      <c r="U52" s="234"/>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304"/>
      <c r="F54" s="206"/>
      <c r="G54" s="206"/>
      <c r="H54" s="206"/>
      <c r="I54" s="206"/>
      <c r="J54" s="206"/>
      <c r="K54" s="207"/>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301"/>
      <c r="D55" s="203"/>
      <c r="E55" s="203"/>
      <c r="F55" s="203"/>
      <c r="G55" s="203"/>
      <c r="H55" s="203"/>
      <c r="I55" s="203"/>
      <c r="J55" s="203"/>
      <c r="K55" s="203"/>
      <c r="L55" s="203"/>
      <c r="M55" s="203"/>
      <c r="N55" s="203"/>
      <c r="O55" s="203"/>
      <c r="P55" s="203"/>
      <c r="Q55" s="203"/>
      <c r="R55" s="203"/>
      <c r="S55" s="203"/>
      <c r="T55" s="203"/>
      <c r="U55" s="203"/>
      <c r="V55" s="204"/>
      <c r="W55" s="3"/>
      <c r="X55" s="4"/>
      <c r="Y55" s="3"/>
      <c r="Z55" s="3"/>
      <c r="AA55" s="3"/>
      <c r="AB55" s="3"/>
    </row>
    <row r="56" spans="1:28" ht="49.5" customHeight="1" x14ac:dyDescent="0.3">
      <c r="A56" s="4"/>
      <c r="B56" s="3"/>
      <c r="C56" s="299" t="s">
        <v>13</v>
      </c>
      <c r="D56" s="203"/>
      <c r="E56" s="204"/>
      <c r="F56" s="29"/>
      <c r="G56" s="295" t="s">
        <v>120</v>
      </c>
      <c r="H56" s="221"/>
      <c r="I56" s="221"/>
      <c r="J56" s="221"/>
      <c r="K56" s="296"/>
      <c r="L56" s="29"/>
      <c r="M56" s="295" t="s">
        <v>251</v>
      </c>
      <c r="N56" s="221"/>
      <c r="O56" s="221"/>
      <c r="P56" s="221"/>
      <c r="Q56" s="221"/>
      <c r="R56" s="296"/>
      <c r="S56" s="295" t="s">
        <v>121</v>
      </c>
      <c r="T56" s="221"/>
      <c r="U56" s="296"/>
      <c r="V56" s="92" t="s">
        <v>107</v>
      </c>
      <c r="W56" s="3"/>
      <c r="X56" s="4"/>
      <c r="Y56" s="3"/>
      <c r="Z56" s="3"/>
      <c r="AA56" s="3"/>
      <c r="AB56" s="3"/>
    </row>
    <row r="57" spans="1:28" ht="49.5" customHeight="1" x14ac:dyDescent="0.3">
      <c r="A57" s="4"/>
      <c r="B57" s="3"/>
      <c r="C57" s="297" t="s">
        <v>15</v>
      </c>
      <c r="D57" s="203"/>
      <c r="E57" s="204"/>
      <c r="F57" s="39"/>
      <c r="G57" s="269" t="s">
        <v>311</v>
      </c>
      <c r="H57" s="233"/>
      <c r="I57" s="233"/>
      <c r="J57" s="233"/>
      <c r="K57" s="234"/>
      <c r="L57" s="93"/>
      <c r="M57" s="269" t="s">
        <v>312</v>
      </c>
      <c r="N57" s="233"/>
      <c r="O57" s="233"/>
      <c r="P57" s="233"/>
      <c r="Q57" s="233"/>
      <c r="R57" s="234"/>
      <c r="S57" s="287" t="s">
        <v>109</v>
      </c>
      <c r="T57" s="233"/>
      <c r="U57" s="234"/>
      <c r="V57" s="94">
        <f t="shared" ref="V57:V66" si="7">IF(S57="---","",VLOOKUP(S57,$C$69:$D$72,2,FALSE))</f>
        <v>1</v>
      </c>
      <c r="W57" s="3"/>
      <c r="X57" s="4"/>
      <c r="Y57" s="3"/>
      <c r="Z57" s="3"/>
      <c r="AA57" s="3"/>
      <c r="AB57" s="3"/>
    </row>
    <row r="58" spans="1:28" ht="49.5" customHeight="1" x14ac:dyDescent="0.3">
      <c r="A58" s="4"/>
      <c r="B58" s="3"/>
      <c r="C58" s="298" t="s">
        <v>16</v>
      </c>
      <c r="D58" s="203"/>
      <c r="E58" s="204"/>
      <c r="F58" s="39"/>
      <c r="G58" s="238" t="s">
        <v>353</v>
      </c>
      <c r="H58" s="233"/>
      <c r="I58" s="233"/>
      <c r="J58" s="233"/>
      <c r="K58" s="234"/>
      <c r="L58" s="93"/>
      <c r="M58" s="285" t="s">
        <v>338</v>
      </c>
      <c r="N58" s="233"/>
      <c r="O58" s="233"/>
      <c r="P58" s="233"/>
      <c r="Q58" s="233"/>
      <c r="R58" s="234"/>
      <c r="S58" s="286" t="s">
        <v>109</v>
      </c>
      <c r="T58" s="233"/>
      <c r="U58" s="234"/>
      <c r="V58" s="94">
        <f t="shared" si="7"/>
        <v>1</v>
      </c>
      <c r="W58" s="3"/>
      <c r="X58" s="4"/>
      <c r="Y58" s="3"/>
      <c r="Z58" s="3"/>
      <c r="AA58" s="3"/>
      <c r="AB58" s="3"/>
    </row>
    <row r="59" spans="1:28" ht="49.5" customHeight="1" x14ac:dyDescent="0.3">
      <c r="A59" s="4"/>
      <c r="B59" s="3"/>
      <c r="C59" s="297" t="s">
        <v>17</v>
      </c>
      <c r="D59" s="203"/>
      <c r="E59" s="204"/>
      <c r="F59" s="39"/>
      <c r="G59" s="258" t="s">
        <v>122</v>
      </c>
      <c r="H59" s="233"/>
      <c r="I59" s="233"/>
      <c r="J59" s="233"/>
      <c r="K59" s="234"/>
      <c r="L59" s="93"/>
      <c r="M59" s="258" t="s">
        <v>331</v>
      </c>
      <c r="N59" s="233"/>
      <c r="O59" s="233"/>
      <c r="P59" s="233"/>
      <c r="Q59" s="233"/>
      <c r="R59" s="234"/>
      <c r="S59" s="287" t="s">
        <v>108</v>
      </c>
      <c r="T59" s="233"/>
      <c r="U59" s="234"/>
      <c r="V59" s="94">
        <f t="shared" si="7"/>
        <v>0.67</v>
      </c>
      <c r="W59" s="3"/>
      <c r="X59" s="4"/>
      <c r="Y59" s="3"/>
      <c r="Z59" s="3"/>
      <c r="AA59" s="3"/>
      <c r="AB59" s="3"/>
    </row>
    <row r="60" spans="1:28" ht="49.5" customHeight="1" x14ac:dyDescent="0.3">
      <c r="A60" s="4"/>
      <c r="B60" s="3"/>
      <c r="C60" s="298" t="s">
        <v>110</v>
      </c>
      <c r="D60" s="203"/>
      <c r="E60" s="204"/>
      <c r="F60" s="39"/>
      <c r="G60" s="288" t="s">
        <v>313</v>
      </c>
      <c r="H60" s="233"/>
      <c r="I60" s="233"/>
      <c r="J60" s="233"/>
      <c r="K60" s="234"/>
      <c r="L60" s="93"/>
      <c r="M60" s="288" t="s">
        <v>333</v>
      </c>
      <c r="N60" s="233"/>
      <c r="O60" s="233"/>
      <c r="P60" s="233"/>
      <c r="Q60" s="233"/>
      <c r="R60" s="234"/>
      <c r="S60" s="286" t="s">
        <v>108</v>
      </c>
      <c r="T60" s="233"/>
      <c r="U60" s="234"/>
      <c r="V60" s="94">
        <f t="shared" si="7"/>
        <v>0.67</v>
      </c>
      <c r="W60" s="3"/>
      <c r="X60" s="4"/>
      <c r="Y60" s="3"/>
      <c r="Z60" s="3"/>
      <c r="AA60" s="3"/>
      <c r="AB60" s="3"/>
    </row>
    <row r="61" spans="1:28" ht="49.5" customHeight="1" x14ac:dyDescent="0.3">
      <c r="A61" s="4"/>
      <c r="B61" s="3"/>
      <c r="C61" s="297" t="s">
        <v>19</v>
      </c>
      <c r="D61" s="203"/>
      <c r="E61" s="204"/>
      <c r="F61" s="39"/>
      <c r="G61" s="258" t="s">
        <v>315</v>
      </c>
      <c r="H61" s="233"/>
      <c r="I61" s="233"/>
      <c r="J61" s="233"/>
      <c r="K61" s="234"/>
      <c r="L61" s="93"/>
      <c r="M61" s="258" t="s">
        <v>314</v>
      </c>
      <c r="N61" s="233"/>
      <c r="O61" s="233"/>
      <c r="P61" s="233"/>
      <c r="Q61" s="233"/>
      <c r="R61" s="234"/>
      <c r="S61" s="287" t="s">
        <v>108</v>
      </c>
      <c r="T61" s="233"/>
      <c r="U61" s="234"/>
      <c r="V61" s="94">
        <f t="shared" si="7"/>
        <v>0.67</v>
      </c>
      <c r="W61" s="3"/>
      <c r="X61" s="4"/>
      <c r="Y61" s="3"/>
      <c r="Z61" s="3"/>
      <c r="AA61" s="3"/>
      <c r="AB61" s="3"/>
    </row>
    <row r="62" spans="1:28" ht="93" customHeight="1" x14ac:dyDescent="0.3">
      <c r="A62" s="4"/>
      <c r="B62" s="3"/>
      <c r="C62" s="298" t="s">
        <v>112</v>
      </c>
      <c r="D62" s="203"/>
      <c r="E62" s="204"/>
      <c r="F62" s="39"/>
      <c r="G62" s="292" t="s">
        <v>321</v>
      </c>
      <c r="H62" s="293"/>
      <c r="I62" s="293"/>
      <c r="J62" s="293"/>
      <c r="K62" s="294"/>
      <c r="L62" s="172"/>
      <c r="M62" s="292" t="s">
        <v>320</v>
      </c>
      <c r="N62" s="293"/>
      <c r="O62" s="293"/>
      <c r="P62" s="293"/>
      <c r="Q62" s="293"/>
      <c r="R62" s="294"/>
      <c r="S62" s="286" t="s">
        <v>108</v>
      </c>
      <c r="T62" s="233"/>
      <c r="U62" s="234"/>
      <c r="V62" s="94">
        <f t="shared" si="7"/>
        <v>0.67</v>
      </c>
      <c r="W62" s="3"/>
      <c r="X62" s="4"/>
      <c r="Y62" s="3"/>
      <c r="Z62" s="3"/>
      <c r="AA62" s="3"/>
      <c r="AB62" s="3"/>
    </row>
    <row r="63" spans="1:28" ht="49.5" customHeight="1" x14ac:dyDescent="0.3">
      <c r="A63" s="4"/>
      <c r="B63" s="3"/>
      <c r="C63" s="297" t="s">
        <v>113</v>
      </c>
      <c r="D63" s="203"/>
      <c r="E63" s="204"/>
      <c r="F63" s="39"/>
      <c r="G63" s="258" t="s">
        <v>319</v>
      </c>
      <c r="H63" s="233"/>
      <c r="I63" s="233"/>
      <c r="J63" s="233"/>
      <c r="K63" s="234"/>
      <c r="L63" s="93"/>
      <c r="M63" s="258" t="s">
        <v>318</v>
      </c>
      <c r="N63" s="233"/>
      <c r="O63" s="233"/>
      <c r="P63" s="233"/>
      <c r="Q63" s="233"/>
      <c r="R63" s="234"/>
      <c r="S63" s="291" t="s">
        <v>109</v>
      </c>
      <c r="T63" s="233"/>
      <c r="U63" s="234"/>
      <c r="V63" s="94">
        <f t="shared" si="7"/>
        <v>1</v>
      </c>
      <c r="W63" s="3"/>
      <c r="X63" s="4"/>
      <c r="Y63" s="3"/>
      <c r="Z63" s="3"/>
      <c r="AA63" s="3"/>
      <c r="AB63" s="3"/>
    </row>
    <row r="64" spans="1:28" ht="49.5" customHeight="1" x14ac:dyDescent="0.3">
      <c r="A64" s="4"/>
      <c r="B64" s="3"/>
      <c r="C64" s="298" t="s">
        <v>114</v>
      </c>
      <c r="D64" s="203"/>
      <c r="E64" s="204"/>
      <c r="F64" s="39"/>
      <c r="G64" s="288" t="s">
        <v>317</v>
      </c>
      <c r="H64" s="233"/>
      <c r="I64" s="233"/>
      <c r="J64" s="233"/>
      <c r="K64" s="234"/>
      <c r="L64" s="93"/>
      <c r="M64" s="288" t="s">
        <v>316</v>
      </c>
      <c r="N64" s="233"/>
      <c r="O64" s="233"/>
      <c r="P64" s="233"/>
      <c r="Q64" s="233"/>
      <c r="R64" s="234"/>
      <c r="S64" s="289" t="s">
        <v>111</v>
      </c>
      <c r="T64" s="233"/>
      <c r="U64" s="234"/>
      <c r="V64" s="94">
        <f t="shared" si="7"/>
        <v>0.33</v>
      </c>
      <c r="W64" s="3"/>
      <c r="X64" s="4"/>
      <c r="Y64" s="3"/>
      <c r="Z64" s="3"/>
      <c r="AA64" s="3"/>
      <c r="AB64" s="3"/>
    </row>
    <row r="65" spans="1:28" ht="49.5" hidden="1" customHeight="1" x14ac:dyDescent="0.3">
      <c r="A65" s="4"/>
      <c r="B65" s="3"/>
      <c r="C65" s="298" t="s">
        <v>115</v>
      </c>
      <c r="D65" s="203"/>
      <c r="E65" s="204"/>
      <c r="F65" s="39"/>
      <c r="G65" s="290" t="e">
        <f t="shared" ref="G65:G66" si="8">G51</f>
        <v>#REF!</v>
      </c>
      <c r="H65" s="233"/>
      <c r="I65" s="233"/>
      <c r="J65" s="233"/>
      <c r="K65" s="234"/>
      <c r="L65" s="93"/>
      <c r="M65" s="290" t="e">
        <f t="shared" ref="M65:M66" si="9">M51</f>
        <v>#REF!</v>
      </c>
      <c r="N65" s="233"/>
      <c r="O65" s="233"/>
      <c r="P65" s="233"/>
      <c r="Q65" s="233"/>
      <c r="R65" s="234"/>
      <c r="S65" s="289" t="s">
        <v>119</v>
      </c>
      <c r="T65" s="233"/>
      <c r="U65" s="234"/>
      <c r="V65" s="94" t="str">
        <f t="shared" si="7"/>
        <v/>
      </c>
      <c r="W65" s="3"/>
      <c r="X65" s="4"/>
      <c r="Y65" s="3"/>
      <c r="Z65" s="3"/>
      <c r="AA65" s="3"/>
      <c r="AB65" s="3"/>
    </row>
    <row r="66" spans="1:28" ht="49.5" hidden="1" customHeight="1" x14ac:dyDescent="0.3">
      <c r="A66" s="4"/>
      <c r="B66" s="3"/>
      <c r="C66" s="297" t="s">
        <v>116</v>
      </c>
      <c r="D66" s="203"/>
      <c r="E66" s="204"/>
      <c r="F66" s="39"/>
      <c r="G66" s="284" t="e">
        <f t="shared" si="8"/>
        <v>#REF!</v>
      </c>
      <c r="H66" s="233"/>
      <c r="I66" s="233"/>
      <c r="J66" s="233"/>
      <c r="K66" s="234"/>
      <c r="L66" s="93"/>
      <c r="M66" s="284" t="e">
        <f t="shared" si="9"/>
        <v>#REF!</v>
      </c>
      <c r="N66" s="233"/>
      <c r="O66" s="233"/>
      <c r="P66" s="233"/>
      <c r="Q66" s="233"/>
      <c r="R66" s="234"/>
      <c r="S66" s="291" t="s">
        <v>119</v>
      </c>
      <c r="T66" s="233"/>
      <c r="U66" s="234"/>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109</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108</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111</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123</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119</v>
      </c>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G49:K49"/>
    <mergeCell ref="M49:R49"/>
    <mergeCell ref="S49:U49"/>
    <mergeCell ref="M50:R50"/>
    <mergeCell ref="S50:U50"/>
    <mergeCell ref="G50:K50"/>
    <mergeCell ref="G51:K51"/>
    <mergeCell ref="M51:R51"/>
    <mergeCell ref="S51:U51"/>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r:id="rId1"/>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Z1000"/>
  <sheetViews>
    <sheetView showGridLines="0" topLeftCell="A54" zoomScale="96" zoomScaleNormal="96" workbookViewId="0">
      <selection activeCell="G52" sqref="G52:K52"/>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208" t="s">
        <v>231</v>
      </c>
      <c r="B1" s="206"/>
      <c r="C1" s="206"/>
      <c r="D1" s="206"/>
      <c r="E1" s="206"/>
      <c r="F1" s="206"/>
      <c r="G1" s="206"/>
      <c r="H1" s="206"/>
      <c r="I1" s="206"/>
      <c r="J1" s="206"/>
      <c r="K1" s="206"/>
      <c r="L1" s="206"/>
      <c r="M1" s="206"/>
      <c r="N1" s="206"/>
      <c r="O1" s="206"/>
      <c r="P1" s="206"/>
      <c r="Q1" s="206"/>
      <c r="R1" s="207"/>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0" t="s">
        <v>2</v>
      </c>
      <c r="B4" s="211"/>
      <c r="C4" s="212"/>
      <c r="D4" s="6"/>
      <c r="E4" s="7"/>
      <c r="F4" s="7"/>
      <c r="G4" s="7"/>
      <c r="H4" s="7"/>
      <c r="I4" s="7"/>
      <c r="J4" s="7"/>
      <c r="K4" s="7"/>
      <c r="L4" s="7"/>
      <c r="M4" s="7"/>
      <c r="N4" s="7"/>
      <c r="O4" s="7"/>
      <c r="P4" s="7"/>
      <c r="Q4" s="7"/>
      <c r="R4" s="7"/>
      <c r="S4" s="3"/>
      <c r="T4" s="3"/>
      <c r="U4" s="3"/>
      <c r="V4" s="3"/>
      <c r="W4" s="3"/>
      <c r="X4" s="3"/>
      <c r="Y4" s="3"/>
      <c r="Z4" s="3"/>
    </row>
    <row r="5" spans="1:26" ht="31.5" customHeight="1" x14ac:dyDescent="0.3">
      <c r="A5" s="213"/>
      <c r="B5" s="214"/>
      <c r="C5" s="215"/>
      <c r="D5" s="6"/>
      <c r="E5" s="308" t="str">
        <f>'1. Résumé'!E6</f>
        <v xml:space="preserve">FKT 02/18 Ampasy </v>
      </c>
      <c r="F5" s="206"/>
      <c r="G5" s="206"/>
      <c r="H5" s="206"/>
      <c r="I5" s="207"/>
      <c r="J5" s="7"/>
      <c r="K5" s="267" t="str">
        <f>'1. Résumé'!G8</f>
        <v>Pays : Madagascar</v>
      </c>
      <c r="L5" s="207"/>
      <c r="M5" s="267"/>
      <c r="N5" s="206"/>
      <c r="O5" s="206"/>
      <c r="P5" s="207"/>
      <c r="Q5" s="7"/>
      <c r="R5" s="7"/>
      <c r="S5" s="3"/>
      <c r="T5" s="3"/>
      <c r="U5" s="3"/>
      <c r="V5" s="3"/>
      <c r="W5" s="3"/>
      <c r="X5" s="3"/>
      <c r="Y5" s="3"/>
      <c r="Z5" s="3"/>
    </row>
    <row r="6" spans="1:26" ht="9.75" customHeight="1" x14ac:dyDescent="0.3">
      <c r="A6" s="216"/>
      <c r="B6" s="217"/>
      <c r="C6" s="218"/>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81" t="s">
        <v>124</v>
      </c>
      <c r="B8" s="206"/>
      <c r="C8" s="206"/>
      <c r="D8" s="206"/>
      <c r="E8" s="206"/>
      <c r="F8" s="206"/>
      <c r="G8" s="206"/>
      <c r="H8" s="206"/>
      <c r="I8" s="206"/>
      <c r="J8" s="206"/>
      <c r="K8" s="206"/>
      <c r="L8" s="206"/>
      <c r="M8" s="206"/>
      <c r="N8" s="206"/>
      <c r="O8" s="206"/>
      <c r="P8" s="206"/>
      <c r="Q8" s="206"/>
      <c r="R8" s="207"/>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09" t="s">
        <v>125</v>
      </c>
      <c r="D10" s="206"/>
      <c r="E10" s="206"/>
      <c r="F10" s="206"/>
      <c r="G10" s="206"/>
      <c r="H10" s="206"/>
      <c r="I10" s="206"/>
      <c r="J10" s="206"/>
      <c r="K10" s="206"/>
      <c r="L10" s="206"/>
      <c r="M10" s="206"/>
      <c r="N10" s="206"/>
      <c r="O10" s="206"/>
      <c r="P10" s="207"/>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9" t="s">
        <v>126</v>
      </c>
      <c r="D12" s="206"/>
      <c r="E12" s="206"/>
      <c r="F12" s="206"/>
      <c r="G12" s="206"/>
      <c r="H12" s="206"/>
      <c r="I12" s="206"/>
      <c r="J12" s="206"/>
      <c r="K12" s="206"/>
      <c r="L12" s="206"/>
      <c r="M12" s="206"/>
      <c r="N12" s="206"/>
      <c r="O12" s="206"/>
      <c r="P12" s="207"/>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68" t="s">
        <v>278</v>
      </c>
      <c r="D14" s="233"/>
      <c r="E14" s="233"/>
      <c r="F14" s="233"/>
      <c r="G14" s="233"/>
      <c r="H14" s="233"/>
      <c r="I14" s="233"/>
      <c r="J14" s="233"/>
      <c r="K14" s="233"/>
      <c r="L14" s="233"/>
      <c r="M14" s="233"/>
      <c r="N14" s="233"/>
      <c r="O14" s="233"/>
      <c r="P14" s="234"/>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tr">
        <f>'3. Dangers'!C16</f>
        <v xml:space="preserve">Inondation </v>
      </c>
      <c r="D16" s="23"/>
      <c r="E16" s="307"/>
      <c r="F16" s="206"/>
      <c r="G16" s="206"/>
      <c r="H16" s="206"/>
      <c r="I16" s="206"/>
      <c r="J16" s="206"/>
      <c r="K16" s="207"/>
      <c r="L16" s="90"/>
      <c r="M16" s="90"/>
      <c r="N16" s="90"/>
      <c r="O16" s="90"/>
      <c r="P16" s="90"/>
      <c r="Q16" s="3"/>
      <c r="R16" s="4"/>
      <c r="S16" s="3"/>
      <c r="T16" s="3"/>
      <c r="U16" s="3"/>
      <c r="V16" s="3"/>
      <c r="W16" s="3"/>
      <c r="X16" s="3"/>
      <c r="Y16" s="3"/>
      <c r="Z16" s="3"/>
    </row>
    <row r="17" spans="1:26" ht="12" customHeight="1" x14ac:dyDescent="0.3">
      <c r="A17" s="4"/>
      <c r="B17" s="3"/>
      <c r="C17" s="301"/>
      <c r="D17" s="203"/>
      <c r="E17" s="203"/>
      <c r="F17" s="203"/>
      <c r="G17" s="203"/>
      <c r="H17" s="203"/>
      <c r="I17" s="203"/>
      <c r="J17" s="203"/>
      <c r="K17" s="203"/>
      <c r="L17" s="203"/>
      <c r="M17" s="203"/>
      <c r="N17" s="203"/>
      <c r="O17" s="203"/>
      <c r="P17" s="204"/>
      <c r="Q17" s="3"/>
      <c r="R17" s="4"/>
      <c r="S17" s="3"/>
      <c r="T17" s="3"/>
      <c r="U17" s="3"/>
      <c r="V17" s="3"/>
      <c r="W17" s="3"/>
      <c r="X17" s="3"/>
      <c r="Y17" s="3"/>
      <c r="Z17" s="3"/>
    </row>
    <row r="18" spans="1:26" ht="31.5" customHeight="1" x14ac:dyDescent="0.3">
      <c r="A18" s="4"/>
      <c r="B18" s="3"/>
      <c r="C18" s="299" t="s">
        <v>13</v>
      </c>
      <c r="D18" s="203"/>
      <c r="E18" s="204"/>
      <c r="F18" s="29"/>
      <c r="G18" s="295" t="s">
        <v>127</v>
      </c>
      <c r="H18" s="221"/>
      <c r="I18" s="221"/>
      <c r="J18" s="221"/>
      <c r="K18" s="296"/>
      <c r="L18" s="29"/>
      <c r="M18" s="310" t="s">
        <v>128</v>
      </c>
      <c r="N18" s="311"/>
      <c r="O18" s="312"/>
      <c r="P18" s="92" t="s">
        <v>129</v>
      </c>
      <c r="Q18" s="3"/>
      <c r="R18" s="4"/>
      <c r="S18" s="3"/>
      <c r="T18" s="3"/>
      <c r="U18" s="3"/>
      <c r="V18" s="3"/>
      <c r="W18" s="3"/>
      <c r="X18" s="3"/>
      <c r="Y18" s="3"/>
      <c r="Z18" s="3"/>
    </row>
    <row r="19" spans="1:26" ht="57" customHeight="1" x14ac:dyDescent="0.3">
      <c r="A19" s="4"/>
      <c r="B19" s="3"/>
      <c r="C19" s="297" t="s">
        <v>15</v>
      </c>
      <c r="D19" s="203"/>
      <c r="E19" s="204"/>
      <c r="F19" s="39"/>
      <c r="G19" s="269" t="s">
        <v>280</v>
      </c>
      <c r="H19" s="233"/>
      <c r="I19" s="233"/>
      <c r="J19" s="233"/>
      <c r="K19" s="234"/>
      <c r="L19" s="93"/>
      <c r="M19" s="287" t="s">
        <v>134</v>
      </c>
      <c r="N19" s="233"/>
      <c r="O19" s="234"/>
      <c r="P19" s="94">
        <f t="shared" ref="P19:P28" si="0">IF(M19="---","",VLOOKUP(M19,$C$60:$D$63,2,FALSE))</f>
        <v>0.33</v>
      </c>
      <c r="Q19" s="3"/>
      <c r="R19" s="4"/>
      <c r="S19" s="3"/>
      <c r="T19" s="3"/>
      <c r="U19" s="3"/>
      <c r="V19" s="3"/>
      <c r="W19" s="3"/>
      <c r="X19" s="3"/>
      <c r="Y19" s="3"/>
      <c r="Z19" s="3"/>
    </row>
    <row r="20" spans="1:26" ht="62.25" customHeight="1" x14ac:dyDescent="0.3">
      <c r="A20" s="4"/>
      <c r="B20" s="3"/>
      <c r="C20" s="298" t="s">
        <v>16</v>
      </c>
      <c r="D20" s="203"/>
      <c r="E20" s="204"/>
      <c r="F20" s="39"/>
      <c r="G20" s="272" t="s">
        <v>281</v>
      </c>
      <c r="H20" s="233"/>
      <c r="I20" s="233"/>
      <c r="J20" s="233"/>
      <c r="K20" s="234"/>
      <c r="L20" s="93"/>
      <c r="M20" s="287" t="s">
        <v>133</v>
      </c>
      <c r="N20" s="233"/>
      <c r="O20" s="234"/>
      <c r="P20" s="94">
        <f t="shared" si="0"/>
        <v>0.67</v>
      </c>
      <c r="Q20" s="3"/>
      <c r="R20" s="4"/>
      <c r="S20" s="3"/>
      <c r="T20" s="3"/>
      <c r="U20" s="3"/>
      <c r="V20" s="3"/>
      <c r="W20" s="3"/>
      <c r="X20" s="3"/>
      <c r="Y20" s="3"/>
      <c r="Z20" s="3"/>
    </row>
    <row r="21" spans="1:26" ht="62.25" customHeight="1" x14ac:dyDescent="0.3">
      <c r="A21" s="4"/>
      <c r="B21" s="3"/>
      <c r="C21" s="297" t="s">
        <v>17</v>
      </c>
      <c r="D21" s="203"/>
      <c r="E21" s="204"/>
      <c r="F21" s="39"/>
      <c r="G21" s="258" t="s">
        <v>225</v>
      </c>
      <c r="H21" s="233"/>
      <c r="I21" s="233"/>
      <c r="J21" s="233"/>
      <c r="K21" s="234"/>
      <c r="L21" s="93"/>
      <c r="M21" s="287" t="s">
        <v>132</v>
      </c>
      <c r="N21" s="233"/>
      <c r="O21" s="234"/>
      <c r="P21" s="94">
        <f t="shared" si="0"/>
        <v>1</v>
      </c>
      <c r="Q21" s="3"/>
      <c r="R21" s="4"/>
      <c r="S21" s="3"/>
      <c r="T21" s="3"/>
      <c r="U21" s="3"/>
      <c r="V21" s="3"/>
      <c r="W21" s="3"/>
      <c r="X21" s="3"/>
      <c r="Y21" s="3"/>
      <c r="Z21" s="3"/>
    </row>
    <row r="22" spans="1:26" ht="62.25" customHeight="1" x14ac:dyDescent="0.3">
      <c r="A22" s="4"/>
      <c r="B22" s="3"/>
      <c r="C22" s="298" t="s">
        <v>110</v>
      </c>
      <c r="D22" s="203"/>
      <c r="E22" s="204"/>
      <c r="F22" s="39"/>
      <c r="G22" s="269" t="s">
        <v>288</v>
      </c>
      <c r="H22" s="233"/>
      <c r="I22" s="233"/>
      <c r="J22" s="233"/>
      <c r="K22" s="234"/>
      <c r="L22" s="93"/>
      <c r="M22" s="287" t="s">
        <v>133</v>
      </c>
      <c r="N22" s="233"/>
      <c r="O22" s="234"/>
      <c r="P22" s="94">
        <f t="shared" si="0"/>
        <v>0.67</v>
      </c>
      <c r="Q22" s="3"/>
      <c r="R22" s="4"/>
      <c r="S22" s="3"/>
      <c r="T22" s="3"/>
      <c r="U22" s="3"/>
      <c r="V22" s="3"/>
      <c r="W22" s="3"/>
      <c r="X22" s="3"/>
      <c r="Y22" s="3"/>
      <c r="Z22" s="3"/>
    </row>
    <row r="23" spans="1:26" ht="49.5" customHeight="1" x14ac:dyDescent="0.3">
      <c r="A23" s="4"/>
      <c r="B23" s="3"/>
      <c r="C23" s="297" t="s">
        <v>19</v>
      </c>
      <c r="D23" s="203"/>
      <c r="E23" s="204"/>
      <c r="F23" s="39"/>
      <c r="G23" s="288" t="s">
        <v>289</v>
      </c>
      <c r="H23" s="233"/>
      <c r="I23" s="233"/>
      <c r="J23" s="233"/>
      <c r="K23" s="234"/>
      <c r="L23" s="93"/>
      <c r="M23" s="291" t="s">
        <v>134</v>
      </c>
      <c r="N23" s="233"/>
      <c r="O23" s="234"/>
      <c r="P23" s="94">
        <f t="shared" si="0"/>
        <v>0.33</v>
      </c>
      <c r="Q23" s="3"/>
      <c r="R23" s="4"/>
      <c r="S23" s="3"/>
      <c r="T23" s="3"/>
      <c r="U23" s="3"/>
      <c r="V23" s="3"/>
      <c r="W23" s="3"/>
      <c r="X23" s="3"/>
      <c r="Y23" s="3"/>
      <c r="Z23" s="3"/>
    </row>
    <row r="24" spans="1:26" ht="49.5" customHeight="1" x14ac:dyDescent="0.3">
      <c r="A24" s="4"/>
      <c r="B24" s="3"/>
      <c r="C24" s="298" t="s">
        <v>112</v>
      </c>
      <c r="D24" s="203"/>
      <c r="E24" s="204"/>
      <c r="F24" s="39"/>
      <c r="G24" s="269" t="s">
        <v>284</v>
      </c>
      <c r="H24" s="233"/>
      <c r="I24" s="233"/>
      <c r="J24" s="233"/>
      <c r="K24" s="234"/>
      <c r="L24" s="93"/>
      <c r="M24" s="291" t="s">
        <v>133</v>
      </c>
      <c r="N24" s="233"/>
      <c r="O24" s="234"/>
      <c r="P24" s="94">
        <f t="shared" si="0"/>
        <v>0.67</v>
      </c>
      <c r="Q24" s="3"/>
      <c r="R24" s="4"/>
      <c r="S24" s="3"/>
      <c r="T24" s="3"/>
      <c r="U24" s="3"/>
      <c r="V24" s="3"/>
      <c r="W24" s="3"/>
      <c r="X24" s="3"/>
      <c r="Y24" s="3"/>
      <c r="Z24" s="3"/>
    </row>
    <row r="25" spans="1:26" ht="49.5" customHeight="1" x14ac:dyDescent="0.3">
      <c r="A25" s="4"/>
      <c r="B25" s="3"/>
      <c r="C25" s="297" t="s">
        <v>113</v>
      </c>
      <c r="D25" s="203"/>
      <c r="E25" s="204"/>
      <c r="F25" s="39"/>
      <c r="G25" s="288" t="s">
        <v>226</v>
      </c>
      <c r="H25" s="233"/>
      <c r="I25" s="233"/>
      <c r="J25" s="233"/>
      <c r="K25" s="234"/>
      <c r="L25" s="93"/>
      <c r="M25" s="287" t="s">
        <v>132</v>
      </c>
      <c r="N25" s="233"/>
      <c r="O25" s="234"/>
      <c r="P25" s="94">
        <f t="shared" si="0"/>
        <v>1</v>
      </c>
      <c r="Q25" s="3"/>
      <c r="R25" s="4"/>
      <c r="S25" s="3"/>
      <c r="T25" s="3"/>
      <c r="U25" s="3"/>
      <c r="V25" s="3"/>
      <c r="W25" s="3"/>
      <c r="X25" s="3"/>
      <c r="Y25" s="3"/>
      <c r="Z25" s="3"/>
    </row>
    <row r="26" spans="1:26" ht="49.5" customHeight="1" x14ac:dyDescent="0.3">
      <c r="A26" s="4"/>
      <c r="B26" s="3"/>
      <c r="C26" s="298" t="s">
        <v>114</v>
      </c>
      <c r="D26" s="203"/>
      <c r="E26" s="204"/>
      <c r="F26" s="39"/>
      <c r="G26" s="269" t="s">
        <v>290</v>
      </c>
      <c r="H26" s="233"/>
      <c r="I26" s="233"/>
      <c r="J26" s="233"/>
      <c r="K26" s="234"/>
      <c r="L26" s="93"/>
      <c r="M26" s="291" t="s">
        <v>133</v>
      </c>
      <c r="N26" s="233"/>
      <c r="O26" s="234"/>
      <c r="P26" s="94">
        <f t="shared" si="0"/>
        <v>0.67</v>
      </c>
      <c r="Q26" s="3"/>
      <c r="R26" s="4"/>
      <c r="S26" s="3"/>
      <c r="T26" s="3"/>
      <c r="U26" s="3"/>
      <c r="V26" s="3"/>
      <c r="W26" s="3"/>
      <c r="X26" s="3"/>
      <c r="Y26" s="3"/>
      <c r="Z26" s="3"/>
    </row>
    <row r="27" spans="1:26" ht="49.5" hidden="1" customHeight="1" x14ac:dyDescent="0.3">
      <c r="A27" s="4"/>
      <c r="B27" s="3"/>
      <c r="C27" s="298" t="s">
        <v>115</v>
      </c>
      <c r="D27" s="203"/>
      <c r="E27" s="204"/>
      <c r="F27" s="39"/>
      <c r="G27" s="290" t="e">
        <f t="shared" ref="G27:G28" si="1">#REF!</f>
        <v>#REF!</v>
      </c>
      <c r="H27" s="233"/>
      <c r="I27" s="233"/>
      <c r="J27" s="233"/>
      <c r="K27" s="234"/>
      <c r="L27" s="93"/>
      <c r="M27" s="291" t="e">
        <f t="shared" ref="M27:M28" si="2">#REF!</f>
        <v>#REF!</v>
      </c>
      <c r="N27" s="233"/>
      <c r="O27" s="234"/>
      <c r="P27" s="94" t="e">
        <f t="shared" si="0"/>
        <v>#REF!</v>
      </c>
      <c r="Q27" s="3"/>
      <c r="R27" s="4"/>
      <c r="S27" s="3"/>
      <c r="T27" s="3"/>
      <c r="U27" s="3"/>
      <c r="V27" s="3"/>
      <c r="W27" s="3"/>
      <c r="X27" s="3"/>
      <c r="Y27" s="3"/>
      <c r="Z27" s="3"/>
    </row>
    <row r="28" spans="1:26" ht="49.5" hidden="1" customHeight="1" x14ac:dyDescent="0.3">
      <c r="A28" s="4"/>
      <c r="B28" s="3"/>
      <c r="C28" s="297" t="s">
        <v>116</v>
      </c>
      <c r="D28" s="203"/>
      <c r="E28" s="204"/>
      <c r="F28" s="39"/>
      <c r="G28" s="284" t="e">
        <f t="shared" si="1"/>
        <v>#REF!</v>
      </c>
      <c r="H28" s="233"/>
      <c r="I28" s="233"/>
      <c r="J28" s="233"/>
      <c r="K28" s="234"/>
      <c r="L28" s="93"/>
      <c r="M28" s="291" t="e">
        <f t="shared" si="2"/>
        <v>#REF!</v>
      </c>
      <c r="N28" s="233"/>
      <c r="O28" s="234"/>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305"/>
      <c r="F30" s="206"/>
      <c r="G30" s="206"/>
      <c r="H30" s="206"/>
      <c r="I30" s="206"/>
      <c r="J30" s="206"/>
      <c r="K30" s="207"/>
      <c r="L30" s="97"/>
      <c r="M30" s="97"/>
      <c r="N30" s="97"/>
      <c r="O30" s="97"/>
      <c r="P30" s="97"/>
      <c r="Q30" s="3"/>
      <c r="R30" s="4"/>
      <c r="S30" s="3"/>
      <c r="T30" s="3"/>
      <c r="U30" s="3"/>
      <c r="V30" s="3"/>
      <c r="W30" s="3"/>
      <c r="X30" s="3"/>
      <c r="Y30" s="3"/>
      <c r="Z30" s="3"/>
    </row>
    <row r="31" spans="1:26" ht="12" customHeight="1" x14ac:dyDescent="0.3">
      <c r="A31" s="4"/>
      <c r="B31" s="3"/>
      <c r="C31" s="301"/>
      <c r="D31" s="203"/>
      <c r="E31" s="203"/>
      <c r="F31" s="203"/>
      <c r="G31" s="203"/>
      <c r="H31" s="203"/>
      <c r="I31" s="203"/>
      <c r="J31" s="203"/>
      <c r="K31" s="203"/>
      <c r="L31" s="203"/>
      <c r="M31" s="203"/>
      <c r="N31" s="203"/>
      <c r="O31" s="203"/>
      <c r="P31" s="204"/>
      <c r="Q31" s="3"/>
      <c r="R31" s="4"/>
      <c r="S31" s="3"/>
      <c r="T31" s="3"/>
      <c r="U31" s="3"/>
      <c r="V31" s="3"/>
      <c r="W31" s="3"/>
      <c r="X31" s="3"/>
      <c r="Y31" s="3"/>
      <c r="Z31" s="3"/>
    </row>
    <row r="32" spans="1:26" ht="31.5" customHeight="1" x14ac:dyDescent="0.3">
      <c r="A32" s="4"/>
      <c r="B32" s="3"/>
      <c r="C32" s="299" t="s">
        <v>13</v>
      </c>
      <c r="D32" s="203"/>
      <c r="E32" s="204"/>
      <c r="F32" s="29"/>
      <c r="G32" s="295" t="s">
        <v>130</v>
      </c>
      <c r="H32" s="221"/>
      <c r="I32" s="221"/>
      <c r="J32" s="221"/>
      <c r="K32" s="296"/>
      <c r="L32" s="29"/>
      <c r="M32" s="310" t="s">
        <v>128</v>
      </c>
      <c r="N32" s="311"/>
      <c r="O32" s="312"/>
      <c r="P32" s="92" t="s">
        <v>129</v>
      </c>
      <c r="Q32" s="3"/>
      <c r="R32" s="4"/>
      <c r="S32" s="3"/>
      <c r="T32" s="3"/>
      <c r="U32" s="3"/>
      <c r="V32" s="3"/>
      <c r="W32" s="3"/>
      <c r="X32" s="3"/>
      <c r="Y32" s="3"/>
      <c r="Z32" s="3"/>
    </row>
    <row r="33" spans="1:26" ht="49.5" customHeight="1" x14ac:dyDescent="0.3">
      <c r="A33" s="4"/>
      <c r="B33" s="3"/>
      <c r="C33" s="297" t="s">
        <v>15</v>
      </c>
      <c r="D33" s="203"/>
      <c r="E33" s="204"/>
      <c r="F33" s="39"/>
      <c r="G33" s="258" t="s">
        <v>279</v>
      </c>
      <c r="H33" s="233"/>
      <c r="I33" s="233"/>
      <c r="J33" s="233"/>
      <c r="K33" s="234"/>
      <c r="L33" s="93"/>
      <c r="M33" s="287" t="s">
        <v>133</v>
      </c>
      <c r="N33" s="233"/>
      <c r="O33" s="234"/>
      <c r="P33" s="94">
        <f t="shared" ref="P33:P42" si="3">IF(M33="---","",VLOOKUP(M33,$C$60:$D$63,2,FALSE))</f>
        <v>0.67</v>
      </c>
      <c r="Q33" s="3"/>
      <c r="R33" s="4"/>
      <c r="S33" s="3"/>
      <c r="T33" s="3"/>
      <c r="U33" s="3"/>
      <c r="V33" s="3"/>
      <c r="W33" s="3"/>
      <c r="X33" s="3"/>
      <c r="Y33" s="3"/>
      <c r="Z33" s="3"/>
    </row>
    <row r="34" spans="1:26" ht="49.5" customHeight="1" x14ac:dyDescent="0.3">
      <c r="A34" s="4"/>
      <c r="B34" s="3"/>
      <c r="C34" s="298" t="s">
        <v>16</v>
      </c>
      <c r="D34" s="203"/>
      <c r="E34" s="204"/>
      <c r="F34" s="39"/>
      <c r="G34" s="258" t="s">
        <v>227</v>
      </c>
      <c r="H34" s="233"/>
      <c r="I34" s="233"/>
      <c r="J34" s="233"/>
      <c r="K34" s="234"/>
      <c r="L34" s="93"/>
      <c r="M34" s="287" t="s">
        <v>133</v>
      </c>
      <c r="N34" s="233"/>
      <c r="O34" s="234"/>
      <c r="P34" s="94">
        <f t="shared" si="3"/>
        <v>0.67</v>
      </c>
      <c r="Q34" s="3"/>
      <c r="R34" s="4"/>
      <c r="S34" s="3"/>
      <c r="T34" s="3"/>
      <c r="U34" s="3"/>
      <c r="V34" s="3"/>
      <c r="W34" s="3"/>
      <c r="X34" s="3"/>
      <c r="Y34" s="3"/>
      <c r="Z34" s="3"/>
    </row>
    <row r="35" spans="1:26" ht="49.5" customHeight="1" x14ac:dyDescent="0.3">
      <c r="A35" s="4"/>
      <c r="B35" s="3"/>
      <c r="C35" s="297" t="s">
        <v>17</v>
      </c>
      <c r="D35" s="203"/>
      <c r="E35" s="204"/>
      <c r="F35" s="39"/>
      <c r="G35" s="258" t="s">
        <v>228</v>
      </c>
      <c r="H35" s="233"/>
      <c r="I35" s="233"/>
      <c r="J35" s="233"/>
      <c r="K35" s="234"/>
      <c r="L35" s="93"/>
      <c r="M35" s="287" t="s">
        <v>132</v>
      </c>
      <c r="N35" s="233"/>
      <c r="O35" s="234"/>
      <c r="P35" s="94">
        <f t="shared" si="3"/>
        <v>1</v>
      </c>
      <c r="Q35" s="3"/>
      <c r="R35" s="4"/>
      <c r="S35" s="3"/>
      <c r="T35" s="3"/>
      <c r="U35" s="3"/>
      <c r="V35" s="3"/>
      <c r="W35" s="3"/>
      <c r="X35" s="3"/>
      <c r="Y35" s="3"/>
      <c r="Z35" s="3"/>
    </row>
    <row r="36" spans="1:26" ht="49.5" customHeight="1" x14ac:dyDescent="0.3">
      <c r="A36" s="4"/>
      <c r="B36" s="3"/>
      <c r="C36" s="298" t="s">
        <v>110</v>
      </c>
      <c r="D36" s="203"/>
      <c r="E36" s="204"/>
      <c r="F36" s="39"/>
      <c r="G36" s="258" t="s">
        <v>287</v>
      </c>
      <c r="H36" s="233"/>
      <c r="I36" s="233"/>
      <c r="J36" s="233"/>
      <c r="K36" s="234"/>
      <c r="L36" s="93"/>
      <c r="M36" s="287" t="s">
        <v>134</v>
      </c>
      <c r="N36" s="233"/>
      <c r="O36" s="234"/>
      <c r="P36" s="94">
        <f t="shared" si="3"/>
        <v>0.33</v>
      </c>
      <c r="Q36" s="3"/>
      <c r="R36" s="4"/>
      <c r="S36" s="3"/>
      <c r="T36" s="3"/>
      <c r="U36" s="3"/>
      <c r="V36" s="3"/>
      <c r="W36" s="3"/>
      <c r="X36" s="3"/>
      <c r="Y36" s="3"/>
      <c r="Z36" s="3"/>
    </row>
    <row r="37" spans="1:26" ht="49.5" customHeight="1" x14ac:dyDescent="0.3">
      <c r="A37" s="4"/>
      <c r="B37" s="3"/>
      <c r="C37" s="297" t="s">
        <v>19</v>
      </c>
      <c r="D37" s="203"/>
      <c r="E37" s="204"/>
      <c r="F37" s="39"/>
      <c r="G37" s="238" t="s">
        <v>282</v>
      </c>
      <c r="H37" s="233"/>
      <c r="I37" s="233"/>
      <c r="J37" s="233"/>
      <c r="K37" s="234"/>
      <c r="L37" s="93"/>
      <c r="M37" s="287" t="s">
        <v>134</v>
      </c>
      <c r="N37" s="233"/>
      <c r="O37" s="234"/>
      <c r="P37" s="94">
        <f t="shared" si="3"/>
        <v>0.33</v>
      </c>
      <c r="Q37" s="3"/>
      <c r="R37" s="4"/>
      <c r="S37" s="3"/>
      <c r="T37" s="3"/>
      <c r="U37" s="3"/>
      <c r="V37" s="3"/>
      <c r="W37" s="3"/>
      <c r="X37" s="3"/>
      <c r="Y37" s="3"/>
      <c r="Z37" s="3"/>
    </row>
    <row r="38" spans="1:26" ht="49.5" customHeight="1" x14ac:dyDescent="0.3">
      <c r="A38" s="4"/>
      <c r="B38" s="3"/>
      <c r="C38" s="298" t="s">
        <v>112</v>
      </c>
      <c r="D38" s="203"/>
      <c r="E38" s="204"/>
      <c r="F38" s="39"/>
      <c r="G38" s="269" t="s">
        <v>283</v>
      </c>
      <c r="H38" s="233"/>
      <c r="I38" s="233"/>
      <c r="J38" s="233"/>
      <c r="K38" s="234"/>
      <c r="L38" s="93"/>
      <c r="M38" s="291" t="s">
        <v>133</v>
      </c>
      <c r="N38" s="233"/>
      <c r="O38" s="234"/>
      <c r="P38" s="94">
        <f t="shared" si="3"/>
        <v>0.67</v>
      </c>
      <c r="Q38" s="3"/>
      <c r="R38" s="4"/>
      <c r="S38" s="3"/>
      <c r="T38" s="3"/>
      <c r="U38" s="3"/>
      <c r="V38" s="3"/>
      <c r="W38" s="3"/>
      <c r="X38" s="3"/>
      <c r="Y38" s="3"/>
      <c r="Z38" s="3"/>
    </row>
    <row r="39" spans="1:26" ht="49.5" customHeight="1" x14ac:dyDescent="0.3">
      <c r="A39" s="4"/>
      <c r="B39" s="3"/>
      <c r="C39" s="297" t="s">
        <v>113</v>
      </c>
      <c r="D39" s="203"/>
      <c r="E39" s="204"/>
      <c r="F39" s="39"/>
      <c r="G39" s="238" t="s">
        <v>229</v>
      </c>
      <c r="H39" s="233"/>
      <c r="I39" s="233"/>
      <c r="J39" s="233"/>
      <c r="K39" s="234"/>
      <c r="L39" s="93"/>
      <c r="M39" s="287" t="s">
        <v>132</v>
      </c>
      <c r="N39" s="233"/>
      <c r="O39" s="234"/>
      <c r="P39" s="94">
        <f t="shared" si="3"/>
        <v>1</v>
      </c>
      <c r="Q39" s="3"/>
      <c r="R39" s="4"/>
      <c r="S39" s="3"/>
      <c r="T39" s="3"/>
      <c r="U39" s="3"/>
      <c r="V39" s="3"/>
      <c r="W39" s="3"/>
      <c r="X39" s="3"/>
      <c r="Y39" s="3"/>
      <c r="Z39" s="3"/>
    </row>
    <row r="40" spans="1:26" ht="49.5" customHeight="1" x14ac:dyDescent="0.3">
      <c r="A40" s="4"/>
      <c r="B40" s="3"/>
      <c r="C40" s="298" t="s">
        <v>114</v>
      </c>
      <c r="D40" s="203"/>
      <c r="E40" s="204"/>
      <c r="F40" s="39"/>
      <c r="G40" s="258" t="s">
        <v>285</v>
      </c>
      <c r="H40" s="233"/>
      <c r="I40" s="233"/>
      <c r="J40" s="233"/>
      <c r="K40" s="234"/>
      <c r="L40" s="93"/>
      <c r="M40" s="287" t="s">
        <v>133</v>
      </c>
      <c r="N40" s="233"/>
      <c r="O40" s="234"/>
      <c r="P40" s="94">
        <f t="shared" si="3"/>
        <v>0.67</v>
      </c>
      <c r="Q40" s="3"/>
      <c r="R40" s="4"/>
      <c r="S40" s="3"/>
      <c r="T40" s="3"/>
      <c r="U40" s="3"/>
      <c r="V40" s="3"/>
      <c r="W40" s="3"/>
      <c r="X40" s="3"/>
      <c r="Y40" s="3"/>
      <c r="Z40" s="3"/>
    </row>
    <row r="41" spans="1:26" ht="49.5" hidden="1" customHeight="1" x14ac:dyDescent="0.3">
      <c r="A41" s="4"/>
      <c r="B41" s="3"/>
      <c r="C41" s="298" t="s">
        <v>115</v>
      </c>
      <c r="D41" s="203"/>
      <c r="E41" s="204"/>
      <c r="F41" s="39"/>
      <c r="G41" s="290" t="e">
        <f t="shared" ref="G41:G42" si="4">G27</f>
        <v>#REF!</v>
      </c>
      <c r="H41" s="233"/>
      <c r="I41" s="233"/>
      <c r="J41" s="233"/>
      <c r="K41" s="234"/>
      <c r="L41" s="93"/>
      <c r="M41" s="291" t="e">
        <f>#REF!</f>
        <v>#REF!</v>
      </c>
      <c r="N41" s="233"/>
      <c r="O41" s="234"/>
      <c r="P41" s="94" t="e">
        <f t="shared" si="3"/>
        <v>#REF!</v>
      </c>
      <c r="Q41" s="3"/>
      <c r="R41" s="4"/>
      <c r="S41" s="3"/>
      <c r="T41" s="3"/>
      <c r="U41" s="3"/>
      <c r="V41" s="3"/>
      <c r="W41" s="3"/>
      <c r="X41" s="3"/>
      <c r="Y41" s="3"/>
      <c r="Z41" s="3"/>
    </row>
    <row r="42" spans="1:26" ht="49.5" hidden="1" customHeight="1" x14ac:dyDescent="0.3">
      <c r="A42" s="4"/>
      <c r="B42" s="3"/>
      <c r="C42" s="297" t="s">
        <v>116</v>
      </c>
      <c r="D42" s="203"/>
      <c r="E42" s="204"/>
      <c r="F42" s="39"/>
      <c r="G42" s="284" t="e">
        <f t="shared" si="4"/>
        <v>#REF!</v>
      </c>
      <c r="H42" s="233"/>
      <c r="I42" s="233"/>
      <c r="J42" s="233"/>
      <c r="K42" s="234"/>
      <c r="L42" s="93"/>
      <c r="M42" s="291" t="e">
        <f>M28</f>
        <v>#REF!</v>
      </c>
      <c r="N42" s="233"/>
      <c r="O42" s="234"/>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304"/>
      <c r="F44" s="206"/>
      <c r="G44" s="206"/>
      <c r="H44" s="206"/>
      <c r="I44" s="206"/>
      <c r="J44" s="206"/>
      <c r="K44" s="207"/>
      <c r="L44" s="100"/>
      <c r="M44" s="100"/>
      <c r="N44" s="100"/>
      <c r="O44" s="100"/>
      <c r="P44" s="100"/>
      <c r="Q44" s="3"/>
      <c r="R44" s="4"/>
      <c r="S44" s="3"/>
      <c r="T44" s="3"/>
      <c r="U44" s="3"/>
      <c r="V44" s="3"/>
      <c r="W44" s="3"/>
      <c r="X44" s="3"/>
      <c r="Y44" s="3"/>
      <c r="Z44" s="3"/>
    </row>
    <row r="45" spans="1:26" ht="12" customHeight="1" x14ac:dyDescent="0.3">
      <c r="A45" s="4"/>
      <c r="B45" s="3"/>
      <c r="C45" s="301"/>
      <c r="D45" s="203"/>
      <c r="E45" s="203"/>
      <c r="F45" s="203"/>
      <c r="G45" s="203"/>
      <c r="H45" s="203"/>
      <c r="I45" s="203"/>
      <c r="J45" s="203"/>
      <c r="K45" s="203"/>
      <c r="L45" s="203"/>
      <c r="M45" s="203"/>
      <c r="N45" s="203"/>
      <c r="O45" s="203"/>
      <c r="P45" s="204"/>
      <c r="Q45" s="3"/>
      <c r="R45" s="4"/>
      <c r="S45" s="3"/>
      <c r="T45" s="3"/>
      <c r="U45" s="3"/>
      <c r="V45" s="3"/>
      <c r="W45" s="3"/>
      <c r="X45" s="3"/>
      <c r="Y45" s="3"/>
      <c r="Z45" s="3"/>
    </row>
    <row r="46" spans="1:26" ht="31.5" customHeight="1" x14ac:dyDescent="0.3">
      <c r="A46" s="4"/>
      <c r="B46" s="3"/>
      <c r="C46" s="299" t="s">
        <v>13</v>
      </c>
      <c r="D46" s="203"/>
      <c r="E46" s="204"/>
      <c r="F46" s="29"/>
      <c r="G46" s="295" t="s">
        <v>131</v>
      </c>
      <c r="H46" s="221"/>
      <c r="I46" s="221"/>
      <c r="J46" s="221"/>
      <c r="K46" s="296"/>
      <c r="L46" s="29"/>
      <c r="M46" s="310" t="s">
        <v>128</v>
      </c>
      <c r="N46" s="311"/>
      <c r="O46" s="312"/>
      <c r="P46" s="92" t="s">
        <v>129</v>
      </c>
      <c r="Q46" s="3"/>
      <c r="R46" s="4"/>
      <c r="S46" s="3"/>
      <c r="T46" s="3"/>
      <c r="U46" s="3"/>
      <c r="V46" s="3"/>
      <c r="W46" s="3"/>
      <c r="X46" s="3"/>
      <c r="Y46" s="3"/>
      <c r="Z46" s="3"/>
    </row>
    <row r="47" spans="1:26" ht="49.5" customHeight="1" x14ac:dyDescent="0.3">
      <c r="A47" s="4"/>
      <c r="B47" s="3"/>
      <c r="C47" s="297" t="s">
        <v>15</v>
      </c>
      <c r="D47" s="203"/>
      <c r="E47" s="204"/>
      <c r="F47" s="39"/>
      <c r="G47" s="272" t="s">
        <v>340</v>
      </c>
      <c r="H47" s="233"/>
      <c r="I47" s="233"/>
      <c r="J47" s="233"/>
      <c r="K47" s="234"/>
      <c r="L47" s="93"/>
      <c r="M47" s="287" t="s">
        <v>133</v>
      </c>
      <c r="N47" s="233"/>
      <c r="O47" s="234"/>
      <c r="P47" s="94">
        <f t="shared" ref="P47:P56" si="5">IF(M47="---","",VLOOKUP(M47,$C$60:$D$63,2,FALSE))</f>
        <v>0.67</v>
      </c>
      <c r="Q47" s="3"/>
      <c r="R47" s="4"/>
      <c r="S47" s="3"/>
      <c r="T47" s="3"/>
      <c r="U47" s="3"/>
      <c r="V47" s="3"/>
      <c r="W47" s="3"/>
      <c r="X47" s="3"/>
      <c r="Y47" s="3"/>
      <c r="Z47" s="3"/>
    </row>
    <row r="48" spans="1:26" ht="49.5" customHeight="1" x14ac:dyDescent="0.3">
      <c r="A48" s="4"/>
      <c r="B48" s="3"/>
      <c r="C48" s="298" t="s">
        <v>16</v>
      </c>
      <c r="D48" s="203"/>
      <c r="E48" s="204"/>
      <c r="F48" s="39"/>
      <c r="G48" s="258" t="s">
        <v>339</v>
      </c>
      <c r="H48" s="233"/>
      <c r="I48" s="233"/>
      <c r="J48" s="233"/>
      <c r="K48" s="234"/>
      <c r="L48" s="93"/>
      <c r="M48" s="287" t="s">
        <v>133</v>
      </c>
      <c r="N48" s="233"/>
      <c r="O48" s="234"/>
      <c r="P48" s="94">
        <f t="shared" si="5"/>
        <v>0.67</v>
      </c>
      <c r="Q48" s="3"/>
      <c r="R48" s="4"/>
      <c r="S48" s="3"/>
      <c r="T48" s="3"/>
      <c r="U48" s="3"/>
      <c r="V48" s="3"/>
      <c r="W48" s="3"/>
      <c r="X48" s="3"/>
      <c r="Y48" s="3"/>
      <c r="Z48" s="3"/>
    </row>
    <row r="49" spans="1:26" ht="49.5" customHeight="1" x14ac:dyDescent="0.3">
      <c r="A49" s="4"/>
      <c r="B49" s="3"/>
      <c r="C49" s="297" t="s">
        <v>17</v>
      </c>
      <c r="D49" s="203"/>
      <c r="E49" s="204"/>
      <c r="F49" s="39"/>
      <c r="G49" s="258" t="s">
        <v>286</v>
      </c>
      <c r="H49" s="233"/>
      <c r="I49" s="233"/>
      <c r="J49" s="233"/>
      <c r="K49" s="234"/>
      <c r="L49" s="93"/>
      <c r="M49" s="287" t="s">
        <v>133</v>
      </c>
      <c r="N49" s="233"/>
      <c r="O49" s="234"/>
      <c r="P49" s="94">
        <f t="shared" si="5"/>
        <v>0.67</v>
      </c>
      <c r="Q49" s="3"/>
      <c r="R49" s="4"/>
      <c r="S49" s="3"/>
      <c r="T49" s="3"/>
      <c r="U49" s="3"/>
      <c r="V49" s="3"/>
      <c r="W49" s="3"/>
      <c r="X49" s="3"/>
      <c r="Y49" s="3"/>
      <c r="Z49" s="3"/>
    </row>
    <row r="50" spans="1:26" ht="49.5" customHeight="1" x14ac:dyDescent="0.3">
      <c r="A50" s="4"/>
      <c r="B50" s="3"/>
      <c r="C50" s="298" t="s">
        <v>110</v>
      </c>
      <c r="D50" s="203"/>
      <c r="E50" s="204"/>
      <c r="F50" s="39"/>
      <c r="G50" s="269" t="s">
        <v>341</v>
      </c>
      <c r="H50" s="233"/>
      <c r="I50" s="233"/>
      <c r="J50" s="233"/>
      <c r="K50" s="234"/>
      <c r="L50" s="93"/>
      <c r="M50" s="291" t="s">
        <v>134</v>
      </c>
      <c r="N50" s="233"/>
      <c r="O50" s="234"/>
      <c r="P50" s="94">
        <f t="shared" si="5"/>
        <v>0.33</v>
      </c>
      <c r="Q50" s="3"/>
      <c r="R50" s="4"/>
      <c r="S50" s="3"/>
      <c r="T50" s="3"/>
      <c r="U50" s="3"/>
      <c r="V50" s="3"/>
      <c r="W50" s="3"/>
      <c r="X50" s="3"/>
      <c r="Y50" s="3"/>
      <c r="Z50" s="3"/>
    </row>
    <row r="51" spans="1:26" ht="49.5" customHeight="1" x14ac:dyDescent="0.3">
      <c r="A51" s="4"/>
      <c r="B51" s="3"/>
      <c r="C51" s="297" t="s">
        <v>19</v>
      </c>
      <c r="D51" s="203"/>
      <c r="E51" s="204"/>
      <c r="F51" s="39"/>
      <c r="G51" s="285" t="s">
        <v>342</v>
      </c>
      <c r="H51" s="233"/>
      <c r="I51" s="233"/>
      <c r="J51" s="233"/>
      <c r="K51" s="234"/>
      <c r="L51" s="93"/>
      <c r="M51" s="286" t="s">
        <v>133</v>
      </c>
      <c r="N51" s="233"/>
      <c r="O51" s="234"/>
      <c r="P51" s="94">
        <f t="shared" si="5"/>
        <v>0.67</v>
      </c>
      <c r="Q51" s="3"/>
      <c r="R51" s="4"/>
      <c r="S51" s="3"/>
      <c r="T51" s="3"/>
      <c r="U51" s="3"/>
      <c r="V51" s="3"/>
      <c r="W51" s="3"/>
      <c r="X51" s="3"/>
      <c r="Y51" s="3"/>
      <c r="Z51" s="3"/>
    </row>
    <row r="52" spans="1:26" ht="49.5" customHeight="1" x14ac:dyDescent="0.3">
      <c r="A52" s="4"/>
      <c r="B52" s="3"/>
      <c r="C52" s="298" t="s">
        <v>112</v>
      </c>
      <c r="D52" s="203"/>
      <c r="E52" s="204"/>
      <c r="F52" s="39"/>
      <c r="G52" s="269" t="s">
        <v>343</v>
      </c>
      <c r="H52" s="233"/>
      <c r="I52" s="233"/>
      <c r="J52" s="233"/>
      <c r="K52" s="234"/>
      <c r="L52" s="93"/>
      <c r="M52" s="291" t="s">
        <v>132</v>
      </c>
      <c r="N52" s="233"/>
      <c r="O52" s="234"/>
      <c r="P52" s="94">
        <f t="shared" si="5"/>
        <v>1</v>
      </c>
      <c r="Q52" s="3"/>
      <c r="R52" s="4"/>
      <c r="S52" s="3"/>
      <c r="T52" s="3"/>
      <c r="U52" s="3"/>
      <c r="V52" s="3"/>
      <c r="W52" s="3"/>
      <c r="X52" s="3"/>
      <c r="Y52" s="3"/>
      <c r="Z52" s="3"/>
    </row>
    <row r="53" spans="1:26" ht="49.5" customHeight="1" x14ac:dyDescent="0.3">
      <c r="A53" s="4"/>
      <c r="B53" s="3"/>
      <c r="C53" s="297" t="s">
        <v>113</v>
      </c>
      <c r="D53" s="203"/>
      <c r="E53" s="204"/>
      <c r="F53" s="39"/>
      <c r="G53" s="285" t="s">
        <v>291</v>
      </c>
      <c r="H53" s="233"/>
      <c r="I53" s="233"/>
      <c r="J53" s="233"/>
      <c r="K53" s="234"/>
      <c r="L53" s="93"/>
      <c r="M53" s="286" t="s">
        <v>133</v>
      </c>
      <c r="N53" s="233"/>
      <c r="O53" s="234"/>
      <c r="P53" s="94">
        <f t="shared" si="5"/>
        <v>0.67</v>
      </c>
      <c r="Q53" s="3"/>
      <c r="R53" s="4"/>
      <c r="S53" s="3"/>
      <c r="T53" s="3"/>
      <c r="U53" s="3"/>
      <c r="V53" s="3"/>
      <c r="W53" s="3"/>
      <c r="X53" s="3"/>
      <c r="Y53" s="3"/>
      <c r="Z53" s="3"/>
    </row>
    <row r="54" spans="1:26" ht="49.5" customHeight="1" x14ac:dyDescent="0.3">
      <c r="A54" s="4"/>
      <c r="B54" s="3"/>
      <c r="C54" s="298" t="s">
        <v>114</v>
      </c>
      <c r="D54" s="203"/>
      <c r="E54" s="204"/>
      <c r="F54" s="39"/>
      <c r="G54" s="269" t="s">
        <v>344</v>
      </c>
      <c r="H54" s="233"/>
      <c r="I54" s="233"/>
      <c r="J54" s="233"/>
      <c r="K54" s="234"/>
      <c r="L54" s="93"/>
      <c r="M54" s="291" t="s">
        <v>133</v>
      </c>
      <c r="N54" s="233"/>
      <c r="O54" s="234"/>
      <c r="P54" s="94">
        <f t="shared" si="5"/>
        <v>0.67</v>
      </c>
      <c r="Q54" s="3"/>
      <c r="R54" s="4"/>
      <c r="S54" s="3"/>
      <c r="T54" s="3"/>
      <c r="U54" s="3"/>
      <c r="V54" s="3"/>
      <c r="W54" s="3"/>
      <c r="X54" s="3"/>
      <c r="Y54" s="3"/>
      <c r="Z54" s="3"/>
    </row>
    <row r="55" spans="1:26" ht="49.5" hidden="1" customHeight="1" x14ac:dyDescent="0.3">
      <c r="A55" s="4"/>
      <c r="B55" s="3"/>
      <c r="C55" s="298" t="s">
        <v>115</v>
      </c>
      <c r="D55" s="203"/>
      <c r="E55" s="204"/>
      <c r="F55" s="39"/>
      <c r="G55" s="290" t="e">
        <f t="shared" ref="G55:G56" si="6">G41</f>
        <v>#REF!</v>
      </c>
      <c r="H55" s="233"/>
      <c r="I55" s="233"/>
      <c r="J55" s="233"/>
      <c r="K55" s="234"/>
      <c r="L55" s="93"/>
      <c r="M55" s="289" t="e">
        <f t="shared" ref="M55:M56" si="7">M41</f>
        <v>#REF!</v>
      </c>
      <c r="N55" s="233"/>
      <c r="O55" s="234"/>
      <c r="P55" s="94" t="e">
        <f t="shared" si="5"/>
        <v>#REF!</v>
      </c>
      <c r="Q55" s="3"/>
      <c r="R55" s="4"/>
      <c r="S55" s="3"/>
      <c r="T55" s="3"/>
      <c r="U55" s="3"/>
      <c r="V55" s="3"/>
      <c r="W55" s="3"/>
      <c r="X55" s="3"/>
      <c r="Y55" s="3"/>
      <c r="Z55" s="3"/>
    </row>
    <row r="56" spans="1:26" ht="49.5" hidden="1" customHeight="1" x14ac:dyDescent="0.3">
      <c r="A56" s="4"/>
      <c r="B56" s="3"/>
      <c r="C56" s="297" t="s">
        <v>116</v>
      </c>
      <c r="D56" s="203"/>
      <c r="E56" s="204"/>
      <c r="F56" s="39"/>
      <c r="G56" s="284" t="e">
        <f t="shared" si="6"/>
        <v>#REF!</v>
      </c>
      <c r="H56" s="233"/>
      <c r="I56" s="233"/>
      <c r="J56" s="233"/>
      <c r="K56" s="234"/>
      <c r="L56" s="93"/>
      <c r="M56" s="291" t="e">
        <f t="shared" si="7"/>
        <v>#REF!</v>
      </c>
      <c r="N56" s="233"/>
      <c r="O56" s="234"/>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132</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133</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134</v>
      </c>
      <c r="D62" s="102">
        <v>0.33</v>
      </c>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t="s">
        <v>135</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119</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2:E42"/>
    <mergeCell ref="M34:O34"/>
    <mergeCell ref="M35:O35"/>
    <mergeCell ref="M37:O37"/>
    <mergeCell ref="M38:O38"/>
    <mergeCell ref="M39:O39"/>
    <mergeCell ref="M40:O40"/>
    <mergeCell ref="M41:O41"/>
    <mergeCell ref="M42:O42"/>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Z1000"/>
  <sheetViews>
    <sheetView showGridLines="0" topLeftCell="A13" zoomScale="81" zoomScaleNormal="81"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208" t="s">
        <v>136</v>
      </c>
      <c r="B1" s="206"/>
      <c r="C1" s="206"/>
      <c r="D1" s="206"/>
      <c r="E1" s="206"/>
      <c r="F1" s="206"/>
      <c r="G1" s="206"/>
      <c r="H1" s="206"/>
      <c r="I1" s="206"/>
      <c r="J1" s="206"/>
      <c r="K1" s="206"/>
      <c r="L1" s="206"/>
      <c r="M1" s="206"/>
      <c r="N1" s="206"/>
      <c r="O1" s="206"/>
      <c r="P1" s="206"/>
      <c r="Q1" s="206"/>
      <c r="R1" s="206"/>
      <c r="S1" s="206"/>
      <c r="T1" s="206"/>
      <c r="U1" s="206"/>
      <c r="V1" s="207"/>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0" t="s">
        <v>2</v>
      </c>
      <c r="B4" s="211"/>
      <c r="C4" s="212"/>
      <c r="D4" s="6"/>
      <c r="E4" s="7"/>
      <c r="F4" s="7"/>
      <c r="G4" s="7"/>
      <c r="H4" s="7"/>
      <c r="I4" s="7"/>
      <c r="J4" s="7"/>
      <c r="K4" s="7"/>
      <c r="L4" s="7"/>
      <c r="M4" s="7"/>
      <c r="N4" s="7"/>
      <c r="O4" s="7"/>
      <c r="P4" s="7"/>
      <c r="Q4" s="7"/>
      <c r="R4" s="7"/>
      <c r="S4" s="7"/>
      <c r="T4" s="7"/>
      <c r="U4" s="7"/>
      <c r="V4" s="7"/>
      <c r="W4" s="3"/>
      <c r="X4" s="3"/>
      <c r="Y4" s="3"/>
      <c r="Z4" s="3"/>
    </row>
    <row r="5" spans="1:26" ht="31.5" customHeight="1" x14ac:dyDescent="0.3">
      <c r="A5" s="213"/>
      <c r="B5" s="214"/>
      <c r="C5" s="215"/>
      <c r="D5" s="6"/>
      <c r="E5" s="308" t="str">
        <f>'1. Résumé'!E6</f>
        <v xml:space="preserve">FKT 02/18 Ampasy </v>
      </c>
      <c r="F5" s="206"/>
      <c r="G5" s="206"/>
      <c r="H5" s="206"/>
      <c r="I5" s="207"/>
      <c r="J5" s="7"/>
      <c r="K5" s="267" t="str">
        <f>'1. Résumé'!G8</f>
        <v>Pays : Madagascar</v>
      </c>
      <c r="L5" s="206"/>
      <c r="M5" s="206"/>
      <c r="N5" s="206"/>
      <c r="O5" s="207"/>
      <c r="P5" s="7"/>
      <c r="Q5" s="7"/>
      <c r="R5" s="267" t="str">
        <f>'1. Résumé'!E10</f>
        <v>Société nationale : Croix-Rouge Malagasy</v>
      </c>
      <c r="S5" s="206"/>
      <c r="T5" s="207"/>
      <c r="U5" s="7"/>
      <c r="V5" s="7"/>
      <c r="W5" s="3"/>
      <c r="X5" s="3"/>
      <c r="Y5" s="3"/>
      <c r="Z5" s="3"/>
    </row>
    <row r="6" spans="1:26" ht="9.75" customHeight="1" x14ac:dyDescent="0.3">
      <c r="A6" s="216"/>
      <c r="B6" s="217"/>
      <c r="C6" s="218"/>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81" t="s">
        <v>137</v>
      </c>
      <c r="B8" s="206"/>
      <c r="C8" s="206"/>
      <c r="D8" s="206"/>
      <c r="E8" s="206"/>
      <c r="F8" s="206"/>
      <c r="G8" s="206"/>
      <c r="H8" s="206"/>
      <c r="I8" s="206"/>
      <c r="J8" s="206"/>
      <c r="K8" s="206"/>
      <c r="L8" s="206"/>
      <c r="M8" s="206"/>
      <c r="N8" s="206"/>
      <c r="O8" s="206"/>
      <c r="P8" s="206"/>
      <c r="Q8" s="206"/>
      <c r="R8" s="206"/>
      <c r="S8" s="206"/>
      <c r="T8" s="206"/>
      <c r="U8" s="206"/>
      <c r="V8" s="207"/>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9" t="s">
        <v>138</v>
      </c>
      <c r="D10" s="206"/>
      <c r="E10" s="206"/>
      <c r="F10" s="206"/>
      <c r="G10" s="206"/>
      <c r="H10" s="206"/>
      <c r="I10" s="206"/>
      <c r="J10" s="206"/>
      <c r="K10" s="206"/>
      <c r="L10" s="206"/>
      <c r="M10" s="206"/>
      <c r="N10" s="206"/>
      <c r="O10" s="206"/>
      <c r="P10" s="206"/>
      <c r="Q10" s="206"/>
      <c r="R10" s="206"/>
      <c r="S10" s="206"/>
      <c r="T10" s="207"/>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14" t="s">
        <v>294</v>
      </c>
      <c r="D12" s="315"/>
      <c r="E12" s="315"/>
      <c r="F12" s="315"/>
      <c r="G12" s="315"/>
      <c r="H12" s="315"/>
      <c r="I12" s="315"/>
      <c r="J12" s="315"/>
      <c r="K12" s="315"/>
      <c r="L12" s="315"/>
      <c r="M12" s="315"/>
      <c r="N12" s="315"/>
      <c r="O12" s="315"/>
      <c r="P12" s="315"/>
      <c r="Q12" s="315"/>
      <c r="R12" s="315"/>
      <c r="S12" s="315"/>
      <c r="T12" s="260"/>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16" t="s">
        <v>139</v>
      </c>
      <c r="D14" s="206"/>
      <c r="E14" s="206"/>
      <c r="F14" s="206"/>
      <c r="G14" s="206"/>
      <c r="H14" s="206"/>
      <c r="I14" s="206"/>
      <c r="J14" s="206"/>
      <c r="K14" s="206"/>
      <c r="L14" s="206"/>
      <c r="M14" s="206"/>
      <c r="N14" s="206"/>
      <c r="O14" s="206"/>
      <c r="P14" s="206"/>
      <c r="Q14" s="206"/>
      <c r="R14" s="206"/>
      <c r="S14" s="206"/>
      <c r="T14" s="207"/>
      <c r="U14" s="3"/>
      <c r="V14" s="4"/>
      <c r="W14" s="3"/>
      <c r="X14" s="3"/>
      <c r="Y14" s="3"/>
      <c r="Z14" s="3"/>
    </row>
    <row r="15" spans="1:26" ht="12" customHeight="1" x14ac:dyDescent="0.3">
      <c r="A15" s="4"/>
      <c r="B15" s="3"/>
      <c r="C15" s="219" t="s">
        <v>140</v>
      </c>
      <c r="D15" s="206"/>
      <c r="E15" s="206"/>
      <c r="F15" s="206"/>
      <c r="G15" s="206"/>
      <c r="H15" s="206"/>
      <c r="I15" s="206"/>
      <c r="J15" s="206"/>
      <c r="K15" s="206"/>
      <c r="L15" s="206"/>
      <c r="M15" s="206"/>
      <c r="N15" s="206"/>
      <c r="O15" s="206"/>
      <c r="P15" s="206"/>
      <c r="Q15" s="206"/>
      <c r="R15" s="206"/>
      <c r="S15" s="206"/>
      <c r="T15" s="207"/>
      <c r="U15" s="3"/>
      <c r="V15" s="4"/>
      <c r="W15" s="3"/>
      <c r="X15" s="3"/>
      <c r="Y15" s="3"/>
      <c r="Z15" s="3"/>
    </row>
    <row r="16" spans="1:26" ht="48" customHeight="1" x14ac:dyDescent="0.3">
      <c r="A16" s="4"/>
      <c r="B16" s="3"/>
      <c r="C16" s="298" t="s">
        <v>141</v>
      </c>
      <c r="D16" s="203"/>
      <c r="E16" s="204"/>
      <c r="F16" s="39"/>
      <c r="G16" s="238" t="s">
        <v>292</v>
      </c>
      <c r="H16" s="259"/>
      <c r="I16" s="259"/>
      <c r="J16" s="259"/>
      <c r="K16" s="259"/>
      <c r="L16" s="259"/>
      <c r="M16" s="259"/>
      <c r="N16" s="259"/>
      <c r="O16" s="259"/>
      <c r="P16" s="259"/>
      <c r="Q16" s="259"/>
      <c r="R16" s="313"/>
      <c r="S16" s="105" t="s">
        <v>142</v>
      </c>
      <c r="T16" s="94">
        <f t="shared" ref="T16:T18" si="0">IF(S16="---","",VLOOKUP(S16,$C$22:$D$25,2,FALSE))</f>
        <v>1</v>
      </c>
      <c r="U16" s="3"/>
      <c r="V16" s="4"/>
      <c r="W16" s="3"/>
      <c r="X16" s="3"/>
      <c r="Y16" s="3"/>
      <c r="Z16" s="3"/>
    </row>
    <row r="17" spans="1:26" ht="48" customHeight="1" x14ac:dyDescent="0.3">
      <c r="A17" s="4"/>
      <c r="B17" s="3"/>
      <c r="C17" s="106" t="s">
        <v>143</v>
      </c>
      <c r="D17" s="107"/>
      <c r="E17" s="108"/>
      <c r="F17" s="39"/>
      <c r="G17" s="109" t="s">
        <v>293</v>
      </c>
      <c r="H17" s="109"/>
      <c r="I17" s="110"/>
      <c r="J17" s="110"/>
      <c r="K17" s="110"/>
      <c r="L17" s="110"/>
      <c r="M17" s="110"/>
      <c r="N17" s="110"/>
      <c r="O17" s="110"/>
      <c r="P17" s="110"/>
      <c r="Q17" s="110"/>
      <c r="R17" s="110"/>
      <c r="S17" s="111" t="s">
        <v>144</v>
      </c>
      <c r="T17" s="94">
        <f t="shared" si="0"/>
        <v>0.67</v>
      </c>
      <c r="U17" s="3"/>
      <c r="V17" s="4"/>
      <c r="W17" s="3"/>
      <c r="X17" s="3"/>
      <c r="Y17" s="3"/>
      <c r="Z17" s="3"/>
    </row>
    <row r="18" spans="1:26" ht="45" customHeight="1" x14ac:dyDescent="0.3">
      <c r="A18" s="4"/>
      <c r="B18" s="3"/>
      <c r="C18" s="298" t="s">
        <v>145</v>
      </c>
      <c r="D18" s="203"/>
      <c r="E18" s="204"/>
      <c r="F18" s="39"/>
      <c r="G18" s="238" t="s">
        <v>345</v>
      </c>
      <c r="H18" s="259"/>
      <c r="I18" s="259"/>
      <c r="J18" s="259"/>
      <c r="K18" s="259"/>
      <c r="L18" s="259"/>
      <c r="M18" s="259"/>
      <c r="N18" s="259"/>
      <c r="O18" s="259"/>
      <c r="P18" s="259"/>
      <c r="Q18" s="259"/>
      <c r="R18" s="313"/>
      <c r="S18" s="105" t="s">
        <v>144</v>
      </c>
      <c r="T18" s="94">
        <f t="shared" si="0"/>
        <v>0.67</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81"/>
      <c r="C21" s="206"/>
      <c r="D21" s="206"/>
      <c r="E21" s="206"/>
      <c r="F21" s="206"/>
      <c r="G21" s="206"/>
      <c r="H21" s="206"/>
      <c r="I21" s="206"/>
      <c r="J21" s="206"/>
      <c r="K21" s="206"/>
      <c r="L21" s="206"/>
      <c r="M21" s="206"/>
      <c r="N21" s="206"/>
      <c r="O21" s="206"/>
      <c r="P21" s="206"/>
      <c r="Q21" s="206"/>
      <c r="R21" s="206"/>
      <c r="S21" s="206"/>
      <c r="T21" s="206"/>
      <c r="U21" s="207"/>
      <c r="V21" s="4"/>
      <c r="W21" s="3"/>
      <c r="X21" s="3"/>
      <c r="Y21" s="3"/>
      <c r="Z21" s="3"/>
    </row>
    <row r="22" spans="1:26" ht="12" customHeight="1" x14ac:dyDescent="0.3">
      <c r="A22" s="3"/>
      <c r="B22" s="3"/>
      <c r="C22" s="3" t="s">
        <v>142</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144</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146</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r:id="rId1"/>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AF1000"/>
  <sheetViews>
    <sheetView showGridLines="0" topLeftCell="A30" workbookViewId="0">
      <selection activeCell="C24" sqref="C24:W32"/>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208" t="s">
        <v>147</v>
      </c>
      <c r="B1" s="206"/>
      <c r="C1" s="206"/>
      <c r="D1" s="206"/>
      <c r="E1" s="206"/>
      <c r="F1" s="206"/>
      <c r="G1" s="206"/>
      <c r="H1" s="206"/>
      <c r="I1" s="206"/>
      <c r="J1" s="206"/>
      <c r="K1" s="206"/>
      <c r="L1" s="206"/>
      <c r="M1" s="206"/>
      <c r="N1" s="206"/>
      <c r="O1" s="206"/>
      <c r="P1" s="206"/>
      <c r="Q1" s="207"/>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26"/>
      <c r="T2" s="214"/>
      <c r="U2" s="214"/>
      <c r="V2" s="214"/>
      <c r="W2" s="214"/>
      <c r="X2" s="214"/>
      <c r="Y2" s="214"/>
      <c r="Z2" s="214"/>
      <c r="AA2" s="214"/>
      <c r="AB2" s="214"/>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10" t="s">
        <v>2</v>
      </c>
      <c r="B4" s="211"/>
      <c r="C4" s="212"/>
      <c r="D4" s="6"/>
      <c r="E4" s="7"/>
      <c r="F4" s="7"/>
      <c r="G4" s="7"/>
      <c r="H4" s="174"/>
      <c r="I4" s="7"/>
      <c r="J4" s="174"/>
      <c r="K4" s="7"/>
      <c r="L4" s="7"/>
      <c r="M4" s="7"/>
      <c r="N4" s="7"/>
      <c r="O4" s="7"/>
      <c r="P4" s="7"/>
      <c r="Q4" s="7"/>
      <c r="R4" s="3"/>
      <c r="S4" s="273"/>
      <c r="T4" s="214"/>
      <c r="U4" s="214"/>
      <c r="V4" s="28"/>
      <c r="W4" s="327"/>
      <c r="X4" s="214"/>
      <c r="Y4" s="214"/>
      <c r="Z4" s="214"/>
      <c r="AA4" s="214"/>
      <c r="AB4" s="214"/>
      <c r="AC4" s="3"/>
      <c r="AD4" s="3"/>
      <c r="AE4" s="3"/>
      <c r="AF4" s="3"/>
    </row>
    <row r="5" spans="1:32" ht="31.5" customHeight="1" x14ac:dyDescent="0.3">
      <c r="A5" s="213"/>
      <c r="B5" s="214"/>
      <c r="C5" s="215"/>
      <c r="D5" s="6"/>
      <c r="E5" s="328" t="str">
        <f>'1. Résumé'!E6</f>
        <v xml:space="preserve">FKT 02/18 Ampasy </v>
      </c>
      <c r="F5" s="206"/>
      <c r="G5" s="206"/>
      <c r="H5" s="207"/>
      <c r="I5" s="115"/>
      <c r="J5" s="267"/>
      <c r="K5" s="206"/>
      <c r="L5" s="206"/>
      <c r="M5" s="206"/>
      <c r="N5" s="206"/>
      <c r="O5" s="207"/>
      <c r="P5" s="7"/>
      <c r="Q5" s="7"/>
      <c r="R5" s="3"/>
      <c r="S5" s="321"/>
      <c r="T5" s="214"/>
      <c r="U5" s="214"/>
      <c r="V5" s="116"/>
      <c r="W5" s="214"/>
      <c r="X5" s="214"/>
      <c r="Y5" s="214"/>
      <c r="Z5" s="214"/>
      <c r="AA5" s="214"/>
      <c r="AB5" s="214"/>
      <c r="AC5" s="3"/>
      <c r="AD5" s="3"/>
      <c r="AE5" s="3"/>
      <c r="AF5" s="3"/>
    </row>
    <row r="6" spans="1:32" ht="9.75" customHeight="1" x14ac:dyDescent="0.3">
      <c r="A6" s="216"/>
      <c r="B6" s="217"/>
      <c r="C6" s="218"/>
      <c r="D6" s="6"/>
      <c r="E6" s="10"/>
      <c r="F6" s="7"/>
      <c r="G6" s="7"/>
      <c r="H6" s="174"/>
      <c r="I6" s="7"/>
      <c r="J6" s="174"/>
      <c r="K6" s="7"/>
      <c r="L6" s="7"/>
      <c r="M6" s="7"/>
      <c r="N6" s="7"/>
      <c r="O6" s="7"/>
      <c r="P6" s="7"/>
      <c r="Q6" s="7"/>
      <c r="R6" s="3"/>
      <c r="S6" s="214"/>
      <c r="T6" s="214"/>
      <c r="U6" s="214"/>
      <c r="V6" s="116"/>
      <c r="W6" s="322"/>
      <c r="X6" s="214"/>
      <c r="Y6" s="323"/>
      <c r="Z6" s="214"/>
      <c r="AA6" s="214"/>
      <c r="AB6" s="214"/>
      <c r="AC6" s="3"/>
      <c r="AD6" s="3"/>
      <c r="AE6" s="3"/>
      <c r="AF6" s="3"/>
    </row>
    <row r="7" spans="1:32" ht="19.5" customHeight="1" x14ac:dyDescent="0.3">
      <c r="A7" s="3"/>
      <c r="B7" s="3"/>
      <c r="C7" s="3"/>
      <c r="D7" s="3"/>
      <c r="E7" s="3"/>
      <c r="F7" s="3"/>
      <c r="G7" s="3" t="s">
        <v>9</v>
      </c>
      <c r="H7" s="81"/>
      <c r="I7" s="3"/>
      <c r="J7" s="81"/>
      <c r="K7" s="3"/>
      <c r="L7" s="3"/>
      <c r="M7" s="3"/>
      <c r="N7" s="3"/>
      <c r="O7" s="3"/>
      <c r="P7" s="3"/>
      <c r="Q7" s="3"/>
      <c r="R7" s="3"/>
      <c r="S7" s="214"/>
      <c r="T7" s="214"/>
      <c r="U7" s="214"/>
      <c r="V7" s="116"/>
      <c r="W7" s="214"/>
      <c r="X7" s="214"/>
      <c r="Y7" s="81"/>
      <c r="Z7" s="81"/>
      <c r="AA7" s="81"/>
      <c r="AB7" s="81"/>
      <c r="AC7" s="3"/>
      <c r="AD7" s="3"/>
      <c r="AE7" s="3"/>
      <c r="AF7" s="3"/>
    </row>
    <row r="8" spans="1:32" ht="39.75" customHeight="1" x14ac:dyDescent="0.3">
      <c r="A8" s="281" t="s">
        <v>148</v>
      </c>
      <c r="B8" s="206"/>
      <c r="C8" s="206"/>
      <c r="D8" s="206"/>
      <c r="E8" s="206"/>
      <c r="F8" s="206"/>
      <c r="G8" s="206"/>
      <c r="H8" s="206"/>
      <c r="I8" s="206"/>
      <c r="J8" s="206"/>
      <c r="K8" s="206"/>
      <c r="L8" s="206"/>
      <c r="M8" s="206"/>
      <c r="N8" s="206"/>
      <c r="O8" s="206"/>
      <c r="P8" s="206"/>
      <c r="Q8" s="207"/>
      <c r="R8" s="3"/>
      <c r="S8" s="118"/>
      <c r="T8" s="118"/>
      <c r="U8" s="118"/>
      <c r="V8" s="118"/>
      <c r="W8" s="214"/>
      <c r="X8" s="214"/>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23"/>
      <c r="U9" s="324"/>
      <c r="V9" s="119"/>
      <c r="W9" s="325"/>
      <c r="X9" s="102"/>
      <c r="Y9" s="102"/>
      <c r="Z9" s="102"/>
      <c r="AA9" s="102"/>
      <c r="AB9" s="102"/>
      <c r="AC9" s="3"/>
      <c r="AD9" s="3"/>
      <c r="AE9" s="3"/>
      <c r="AF9" s="3"/>
    </row>
    <row r="10" spans="1:32" ht="36" customHeight="1" x14ac:dyDescent="0.3">
      <c r="A10" s="68"/>
      <c r="B10" s="69"/>
      <c r="C10" s="309" t="s">
        <v>149</v>
      </c>
      <c r="D10" s="206"/>
      <c r="E10" s="206"/>
      <c r="F10" s="206"/>
      <c r="G10" s="206"/>
      <c r="H10" s="206"/>
      <c r="I10" s="206"/>
      <c r="J10" s="206"/>
      <c r="K10" s="206"/>
      <c r="L10" s="206"/>
      <c r="M10" s="206"/>
      <c r="N10" s="206"/>
      <c r="O10" s="207"/>
      <c r="P10" s="69"/>
      <c r="Q10" s="68"/>
      <c r="R10" s="3"/>
      <c r="S10" s="102"/>
      <c r="T10" s="214"/>
      <c r="U10" s="214"/>
      <c r="V10" s="119"/>
      <c r="W10" s="214"/>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214"/>
      <c r="X11" s="102"/>
      <c r="Y11" s="102"/>
      <c r="Z11" s="102"/>
      <c r="AA11" s="102"/>
      <c r="AB11" s="102"/>
      <c r="AC11" s="3"/>
      <c r="AD11" s="3"/>
      <c r="AE11" s="3"/>
      <c r="AF11" s="3"/>
    </row>
    <row r="12" spans="1:32" ht="31.5" customHeight="1" x14ac:dyDescent="0.3">
      <c r="A12" s="4"/>
      <c r="B12" s="3"/>
      <c r="C12" s="23" t="str">
        <f>'3. Dangers'!C16</f>
        <v xml:space="preserve">Inondation </v>
      </c>
      <c r="D12" s="23"/>
      <c r="E12" s="307"/>
      <c r="F12" s="206"/>
      <c r="G12" s="206"/>
      <c r="H12" s="207"/>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301"/>
      <c r="D13" s="203"/>
      <c r="E13" s="203"/>
      <c r="F13" s="203"/>
      <c r="G13" s="203"/>
      <c r="H13" s="203"/>
      <c r="I13" s="203"/>
      <c r="J13" s="203"/>
      <c r="K13" s="203"/>
      <c r="L13" s="203"/>
      <c r="M13" s="203"/>
      <c r="N13" s="203"/>
      <c r="O13" s="204"/>
      <c r="P13" s="3"/>
      <c r="Q13" s="4"/>
      <c r="R13" s="3"/>
      <c r="S13" s="122"/>
      <c r="T13" s="122"/>
      <c r="U13" s="122" t="s">
        <v>150</v>
      </c>
      <c r="V13" s="122"/>
      <c r="W13" s="122"/>
      <c r="X13" s="122"/>
      <c r="Y13" s="3"/>
      <c r="Z13" s="3"/>
      <c r="AA13" s="3"/>
      <c r="AB13" s="3"/>
      <c r="AC13" s="3"/>
      <c r="AD13" s="3"/>
      <c r="AE13" s="3"/>
      <c r="AF13" s="3"/>
    </row>
    <row r="14" spans="1:32" ht="31.5" customHeight="1" x14ac:dyDescent="0.3">
      <c r="A14" s="4"/>
      <c r="B14" s="3"/>
      <c r="C14" s="299" t="s">
        <v>13</v>
      </c>
      <c r="D14" s="203"/>
      <c r="E14" s="204"/>
      <c r="F14" s="39"/>
      <c r="G14" s="123"/>
      <c r="H14" s="176" t="s">
        <v>151</v>
      </c>
      <c r="I14" s="29"/>
      <c r="J14" s="176" t="s">
        <v>152</v>
      </c>
      <c r="K14" s="123"/>
      <c r="L14" s="123"/>
      <c r="M14" s="320" t="s">
        <v>153</v>
      </c>
      <c r="N14" s="203"/>
      <c r="O14" s="204"/>
      <c r="P14" s="3"/>
      <c r="Q14" s="4"/>
      <c r="R14" s="3"/>
      <c r="S14" s="122"/>
      <c r="T14" s="122"/>
      <c r="U14" s="122" t="s">
        <v>154</v>
      </c>
      <c r="V14" s="122" t="s">
        <v>155</v>
      </c>
      <c r="W14" s="122" t="s">
        <v>156</v>
      </c>
      <c r="X14" s="122" t="s">
        <v>157</v>
      </c>
      <c r="Y14" s="3"/>
      <c r="Z14" s="3"/>
      <c r="AA14" s="3"/>
      <c r="AB14" s="3"/>
      <c r="AC14" s="3"/>
      <c r="AD14" s="3"/>
      <c r="AE14" s="3"/>
      <c r="AF14" s="3"/>
    </row>
    <row r="15" spans="1:32" ht="19.5" customHeight="1" x14ac:dyDescent="0.3">
      <c r="A15" s="4"/>
      <c r="B15" s="3"/>
      <c r="C15" s="297" t="s">
        <v>15</v>
      </c>
      <c r="D15" s="203"/>
      <c r="E15" s="204"/>
      <c r="F15" s="39"/>
      <c r="G15" s="124"/>
      <c r="H15" s="177">
        <f>'4. Vulnérabilité'!V29</f>
        <v>1</v>
      </c>
      <c r="I15" s="29"/>
      <c r="J15" s="177">
        <f>'5. Capacité'!P19</f>
        <v>0.33</v>
      </c>
      <c r="K15" s="125"/>
      <c r="L15" s="125"/>
      <c r="M15" s="319" t="str">
        <f>IF(AND(H15&lt;&gt;"",J15&lt;&gt;""),IF((H15-J15)&lt;-0.32,"LOW",IF((H15-J15)&lt;0.33,"MODERATE","HIGH")),"")</f>
        <v>HIGH</v>
      </c>
      <c r="N15" s="203"/>
      <c r="O15" s="204"/>
      <c r="P15" s="3"/>
      <c r="Q15" s="4"/>
      <c r="R15" s="3"/>
      <c r="S15" s="122" t="s">
        <v>158</v>
      </c>
      <c r="T15" s="122"/>
      <c r="U15" s="122">
        <v>0</v>
      </c>
      <c r="V15" s="122">
        <v>0.33</v>
      </c>
      <c r="W15" s="122">
        <v>0.67</v>
      </c>
      <c r="X15" s="122">
        <v>1</v>
      </c>
      <c r="Y15" s="3"/>
      <c r="Z15" s="3"/>
      <c r="AA15" s="3"/>
      <c r="AB15" s="3"/>
      <c r="AC15" s="3"/>
      <c r="AD15" s="3"/>
      <c r="AE15" s="3"/>
      <c r="AF15" s="3"/>
    </row>
    <row r="16" spans="1:32" ht="19.5" customHeight="1" x14ac:dyDescent="0.3">
      <c r="A16" s="4"/>
      <c r="B16" s="3"/>
      <c r="C16" s="298" t="s">
        <v>16</v>
      </c>
      <c r="D16" s="203"/>
      <c r="E16" s="204"/>
      <c r="F16" s="39"/>
      <c r="G16" s="124"/>
      <c r="H16" s="178">
        <f>'4. Vulnérabilité'!V30</f>
        <v>1</v>
      </c>
      <c r="I16" s="29"/>
      <c r="J16" s="177">
        <f>'5. Capacité'!P20</f>
        <v>0.67</v>
      </c>
      <c r="K16" s="125"/>
      <c r="L16" s="125"/>
      <c r="M16" s="332" t="str">
        <f t="shared" ref="M16:M22" si="0">IF(AND(H16&lt;&gt;"",J16&lt;&gt;""),IF((H16-J16)&lt;-0.33,"LOW",IF((H16-J16)&lt;0.32,"MODERATE","HIGH")),"")</f>
        <v>HIGH</v>
      </c>
      <c r="N16" s="203"/>
      <c r="O16" s="204"/>
      <c r="P16" s="3"/>
      <c r="Q16" s="4"/>
      <c r="R16" s="3"/>
      <c r="S16" s="122" t="s">
        <v>157</v>
      </c>
      <c r="T16" s="122">
        <v>1</v>
      </c>
      <c r="U16" s="122" t="s">
        <v>159</v>
      </c>
      <c r="V16" s="122" t="s">
        <v>159</v>
      </c>
      <c r="W16" s="122" t="s">
        <v>159</v>
      </c>
      <c r="X16" s="122" t="s">
        <v>160</v>
      </c>
      <c r="Y16" s="3"/>
      <c r="Z16" s="3"/>
      <c r="AA16" s="3"/>
      <c r="AB16" s="3"/>
      <c r="AC16" s="3"/>
      <c r="AD16" s="3"/>
      <c r="AE16" s="3"/>
      <c r="AF16" s="3"/>
    </row>
    <row r="17" spans="1:32" ht="19.5" customHeight="1" x14ac:dyDescent="0.3">
      <c r="A17" s="4"/>
      <c r="B17" s="3"/>
      <c r="C17" s="297" t="s">
        <v>17</v>
      </c>
      <c r="D17" s="203"/>
      <c r="E17" s="204"/>
      <c r="F17" s="39"/>
      <c r="G17" s="124"/>
      <c r="H17" s="177">
        <f>'4. Vulnérabilité'!V31</f>
        <v>1</v>
      </c>
      <c r="I17" s="29"/>
      <c r="J17" s="177">
        <f>'5. Capacité'!P21</f>
        <v>1</v>
      </c>
      <c r="K17" s="125"/>
      <c r="L17" s="125"/>
      <c r="M17" s="319" t="str">
        <f t="shared" si="0"/>
        <v>MODERATE</v>
      </c>
      <c r="N17" s="203"/>
      <c r="O17" s="204"/>
      <c r="P17" s="3"/>
      <c r="Q17" s="4"/>
      <c r="R17" s="3"/>
      <c r="S17" s="122"/>
      <c r="T17" s="122"/>
      <c r="U17" s="122"/>
      <c r="V17" s="122"/>
      <c r="W17" s="122"/>
      <c r="X17" s="122"/>
      <c r="Y17" s="3"/>
      <c r="Z17" s="3"/>
      <c r="AA17" s="3"/>
      <c r="AB17" s="3"/>
      <c r="AC17" s="3"/>
      <c r="AD17" s="3"/>
      <c r="AE17" s="3"/>
      <c r="AF17" s="3"/>
    </row>
    <row r="18" spans="1:32" ht="19.5" customHeight="1" x14ac:dyDescent="0.3">
      <c r="A18" s="4"/>
      <c r="B18" s="3"/>
      <c r="C18" s="298" t="s">
        <v>110</v>
      </c>
      <c r="D18" s="203"/>
      <c r="E18" s="204"/>
      <c r="F18" s="39"/>
      <c r="G18" s="124"/>
      <c r="H18" s="178">
        <f>'4. Vulnérabilité'!V32</f>
        <v>0.67</v>
      </c>
      <c r="I18" s="29"/>
      <c r="J18" s="177">
        <f>'5. Capacité'!P22</f>
        <v>0.67</v>
      </c>
      <c r="K18" s="125"/>
      <c r="L18" s="125"/>
      <c r="M18" s="332" t="str">
        <f t="shared" si="0"/>
        <v>MODERATE</v>
      </c>
      <c r="N18" s="203"/>
      <c r="O18" s="204"/>
      <c r="P18" s="3"/>
      <c r="Q18" s="4"/>
      <c r="R18" s="3"/>
      <c r="S18" s="122"/>
      <c r="T18" s="122"/>
      <c r="U18" s="122"/>
      <c r="V18" s="122"/>
      <c r="W18" s="122"/>
      <c r="X18" s="122"/>
      <c r="Y18" s="3"/>
      <c r="Z18" s="3"/>
      <c r="AA18" s="3"/>
      <c r="AB18" s="3"/>
      <c r="AC18" s="3"/>
      <c r="AD18" s="3"/>
      <c r="AE18" s="3"/>
      <c r="AF18" s="3"/>
    </row>
    <row r="19" spans="1:32" ht="19.5" customHeight="1" x14ac:dyDescent="0.3">
      <c r="A19" s="4"/>
      <c r="B19" s="3"/>
      <c r="C19" s="297" t="s">
        <v>19</v>
      </c>
      <c r="D19" s="203"/>
      <c r="E19" s="204"/>
      <c r="F19" s="39"/>
      <c r="G19" s="124"/>
      <c r="H19" s="177">
        <f>'4. Vulnérabilité'!V33</f>
        <v>0.67</v>
      </c>
      <c r="I19" s="29"/>
      <c r="J19" s="177">
        <f>'5. Capacité'!P23</f>
        <v>0.33</v>
      </c>
      <c r="K19" s="125"/>
      <c r="L19" s="125"/>
      <c r="M19" s="319" t="str">
        <f t="shared" si="0"/>
        <v>HIGH</v>
      </c>
      <c r="N19" s="203"/>
      <c r="O19" s="204"/>
      <c r="P19" s="3"/>
      <c r="Q19" s="4"/>
      <c r="R19" s="3"/>
      <c r="S19" s="122"/>
      <c r="T19" s="122"/>
      <c r="U19" s="122"/>
      <c r="V19" s="122"/>
      <c r="W19" s="122"/>
      <c r="X19" s="122"/>
      <c r="Y19" s="3"/>
      <c r="Z19" s="3"/>
      <c r="AA19" s="3"/>
      <c r="AB19" s="3"/>
      <c r="AC19" s="3"/>
      <c r="AD19" s="3"/>
      <c r="AE19" s="3"/>
      <c r="AF19" s="3"/>
    </row>
    <row r="20" spans="1:32" ht="19.5" customHeight="1" x14ac:dyDescent="0.3">
      <c r="A20" s="4"/>
      <c r="B20" s="3"/>
      <c r="C20" s="298" t="s">
        <v>112</v>
      </c>
      <c r="D20" s="203"/>
      <c r="E20" s="204"/>
      <c r="F20" s="39"/>
      <c r="G20" s="124"/>
      <c r="H20" s="178">
        <f>'4. Vulnérabilité'!V34</f>
        <v>0.67</v>
      </c>
      <c r="I20" s="29"/>
      <c r="J20" s="177">
        <f>'5. Capacité'!P24</f>
        <v>0.67</v>
      </c>
      <c r="K20" s="125"/>
      <c r="L20" s="125"/>
      <c r="M20" s="332" t="str">
        <f t="shared" si="0"/>
        <v>MODERATE</v>
      </c>
      <c r="N20" s="203"/>
      <c r="O20" s="204"/>
      <c r="P20" s="3"/>
      <c r="Q20" s="4"/>
      <c r="R20" s="3"/>
      <c r="S20" s="122" t="s">
        <v>156</v>
      </c>
      <c r="T20" s="122">
        <v>0.67</v>
      </c>
      <c r="U20" s="122" t="s">
        <v>159</v>
      </c>
      <c r="V20" s="122" t="s">
        <v>159</v>
      </c>
      <c r="W20" s="122" t="s">
        <v>160</v>
      </c>
      <c r="X20" s="122" t="s">
        <v>161</v>
      </c>
      <c r="Y20" s="3"/>
      <c r="Z20" s="3"/>
      <c r="AA20" s="3"/>
      <c r="AB20" s="3"/>
      <c r="AC20" s="3"/>
      <c r="AD20" s="3"/>
      <c r="AE20" s="3"/>
      <c r="AF20" s="3"/>
    </row>
    <row r="21" spans="1:32" ht="19.5" customHeight="1" x14ac:dyDescent="0.3">
      <c r="A21" s="4"/>
      <c r="B21" s="3"/>
      <c r="C21" s="297" t="s">
        <v>113</v>
      </c>
      <c r="D21" s="203"/>
      <c r="E21" s="204"/>
      <c r="F21" s="39"/>
      <c r="G21" s="124"/>
      <c r="H21" s="177">
        <f>'4. Vulnérabilité'!V35</f>
        <v>1</v>
      </c>
      <c r="I21" s="29"/>
      <c r="J21" s="177">
        <f>'5. Capacité'!P25</f>
        <v>1</v>
      </c>
      <c r="K21" s="125"/>
      <c r="L21" s="125"/>
      <c r="M21" s="319" t="str">
        <f t="shared" si="0"/>
        <v>MODERATE</v>
      </c>
      <c r="N21" s="203"/>
      <c r="O21" s="204"/>
      <c r="P21" s="3"/>
      <c r="Q21" s="4"/>
      <c r="R21" s="3"/>
      <c r="S21" s="122" t="s">
        <v>155</v>
      </c>
      <c r="T21" s="122">
        <v>0.33</v>
      </c>
      <c r="U21" s="122" t="s">
        <v>159</v>
      </c>
      <c r="V21" s="122" t="s">
        <v>160</v>
      </c>
      <c r="W21" s="122" t="s">
        <v>161</v>
      </c>
      <c r="X21" s="122" t="s">
        <v>161</v>
      </c>
      <c r="Y21" s="3"/>
      <c r="Z21" s="3"/>
      <c r="AA21" s="3"/>
      <c r="AB21" s="3"/>
      <c r="AC21" s="3"/>
      <c r="AD21" s="3"/>
      <c r="AE21" s="3"/>
      <c r="AF21" s="3"/>
    </row>
    <row r="22" spans="1:32" ht="19.5" customHeight="1" x14ac:dyDescent="0.3">
      <c r="A22" s="4"/>
      <c r="B22" s="3"/>
      <c r="C22" s="298" t="s">
        <v>114</v>
      </c>
      <c r="D22" s="203"/>
      <c r="E22" s="204"/>
      <c r="F22" s="39"/>
      <c r="G22" s="124"/>
      <c r="H22" s="178">
        <f>'4. Vulnérabilité'!V36</f>
        <v>0.67</v>
      </c>
      <c r="I22" s="29"/>
      <c r="J22" s="177">
        <f>'5. Capacité'!P26</f>
        <v>0.67</v>
      </c>
      <c r="K22" s="125"/>
      <c r="L22" s="125"/>
      <c r="M22" s="332" t="str">
        <f t="shared" si="0"/>
        <v>MODERATE</v>
      </c>
      <c r="N22" s="203"/>
      <c r="O22" s="204"/>
      <c r="P22" s="3"/>
      <c r="Q22" s="4"/>
      <c r="R22" s="3"/>
      <c r="S22" s="122" t="s">
        <v>154</v>
      </c>
      <c r="T22" s="122">
        <v>0</v>
      </c>
      <c r="U22" s="122" t="s">
        <v>160</v>
      </c>
      <c r="V22" s="122" t="s">
        <v>161</v>
      </c>
      <c r="W22" s="122" t="s">
        <v>161</v>
      </c>
      <c r="X22" s="122" t="s">
        <v>161</v>
      </c>
      <c r="Y22" s="3"/>
      <c r="Z22" s="3"/>
      <c r="AA22" s="3"/>
      <c r="AB22" s="3"/>
      <c r="AC22" s="3"/>
      <c r="AD22" s="3"/>
      <c r="AE22" s="3"/>
      <c r="AF22" s="3"/>
    </row>
    <row r="23" spans="1:32" ht="19.5" customHeight="1" x14ac:dyDescent="0.3">
      <c r="A23" s="4"/>
      <c r="B23" s="3"/>
      <c r="C23" s="297" t="s">
        <v>162</v>
      </c>
      <c r="D23" s="203"/>
      <c r="E23" s="204"/>
      <c r="F23" s="39"/>
      <c r="G23" s="124"/>
      <c r="H23" s="126" t="s">
        <v>163</v>
      </c>
      <c r="I23" s="29"/>
      <c r="J23" s="126" t="s">
        <v>163</v>
      </c>
      <c r="K23" s="125"/>
      <c r="L23" s="125"/>
      <c r="M23" s="332" t="str">
        <f>'6. Cohésion, Inclusion, Connect'!S16</f>
        <v>ELEVEE</v>
      </c>
      <c r="N23" s="203"/>
      <c r="O23" s="204"/>
      <c r="P23" s="3"/>
      <c r="Q23" s="4"/>
      <c r="R23" s="3"/>
      <c r="S23" s="3"/>
      <c r="T23" s="3"/>
      <c r="U23" s="3"/>
      <c r="V23" s="3"/>
      <c r="W23" s="3"/>
      <c r="X23" s="3"/>
      <c r="Y23" s="3"/>
      <c r="Z23" s="3"/>
      <c r="AA23" s="3"/>
      <c r="AB23" s="3"/>
      <c r="AC23" s="3"/>
      <c r="AD23" s="3"/>
      <c r="AE23" s="3"/>
      <c r="AF23" s="3"/>
    </row>
    <row r="24" spans="1:32" ht="19.5" customHeight="1" x14ac:dyDescent="0.3">
      <c r="A24" s="4"/>
      <c r="B24" s="3"/>
      <c r="C24" s="127" t="s">
        <v>164</v>
      </c>
      <c r="D24" s="127"/>
      <c r="E24" s="127"/>
      <c r="F24" s="39"/>
      <c r="G24" s="124"/>
      <c r="H24" s="128" t="s">
        <v>163</v>
      </c>
      <c r="I24" s="29"/>
      <c r="J24" s="126"/>
      <c r="K24" s="125"/>
      <c r="L24" s="125"/>
      <c r="M24" s="332" t="str">
        <f>'6. Cohésion, Inclusion, Connect'!S17</f>
        <v>MOYENNE</v>
      </c>
      <c r="N24" s="203"/>
      <c r="O24" s="204"/>
      <c r="P24" s="3"/>
      <c r="Q24" s="4"/>
      <c r="R24" s="3"/>
      <c r="S24" s="3"/>
      <c r="T24" s="3"/>
      <c r="U24" s="3"/>
      <c r="V24" s="3"/>
      <c r="W24" s="3"/>
      <c r="X24" s="3"/>
      <c r="Y24" s="3"/>
      <c r="Z24" s="3"/>
      <c r="AA24" s="3"/>
      <c r="AB24" s="3"/>
      <c r="AC24" s="3"/>
      <c r="AD24" s="3"/>
      <c r="AE24" s="3"/>
      <c r="AF24" s="3"/>
    </row>
    <row r="25" spans="1:32" ht="20.25" customHeight="1" x14ac:dyDescent="0.3">
      <c r="A25" s="4"/>
      <c r="B25" s="3"/>
      <c r="C25" s="297" t="s">
        <v>25</v>
      </c>
      <c r="D25" s="203"/>
      <c r="E25" s="204"/>
      <c r="F25" s="39"/>
      <c r="G25" s="124"/>
      <c r="H25" s="128" t="s">
        <v>163</v>
      </c>
      <c r="I25" s="29"/>
      <c r="J25" s="126" t="s">
        <v>163</v>
      </c>
      <c r="K25" s="125"/>
      <c r="L25" s="125"/>
      <c r="M25" s="332" t="str">
        <f>'6. Cohésion, Inclusion, Connect'!S18</f>
        <v>MOYENNE</v>
      </c>
      <c r="N25" s="203"/>
      <c r="O25" s="204"/>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305"/>
      <c r="F27" s="206"/>
      <c r="G27" s="206"/>
      <c r="H27" s="207"/>
      <c r="I27" s="97"/>
      <c r="J27" s="182"/>
      <c r="K27" s="97"/>
      <c r="L27" s="97"/>
      <c r="M27" s="97"/>
      <c r="N27" s="97"/>
      <c r="O27" s="97"/>
      <c r="P27" s="3"/>
      <c r="Q27" s="4"/>
      <c r="R27" s="3"/>
      <c r="S27" s="122"/>
      <c r="T27" s="122"/>
      <c r="U27" s="122" t="s">
        <v>154</v>
      </c>
      <c r="V27" s="122" t="s">
        <v>155</v>
      </c>
      <c r="W27" s="122" t="s">
        <v>156</v>
      </c>
      <c r="X27" s="122" t="s">
        <v>157</v>
      </c>
      <c r="Y27" s="3"/>
      <c r="Z27" s="3"/>
      <c r="AA27" s="3"/>
      <c r="AB27" s="3"/>
      <c r="AC27" s="3"/>
      <c r="AD27" s="3"/>
      <c r="AE27" s="3"/>
      <c r="AF27" s="3"/>
    </row>
    <row r="28" spans="1:32" ht="12" customHeight="1" x14ac:dyDescent="0.3">
      <c r="A28" s="4"/>
      <c r="B28" s="3"/>
      <c r="C28" s="301"/>
      <c r="D28" s="203"/>
      <c r="E28" s="203"/>
      <c r="F28" s="203"/>
      <c r="G28" s="203"/>
      <c r="H28" s="203"/>
      <c r="I28" s="203"/>
      <c r="J28" s="203"/>
      <c r="K28" s="203"/>
      <c r="L28" s="203"/>
      <c r="M28" s="203"/>
      <c r="N28" s="203"/>
      <c r="O28" s="204"/>
      <c r="P28" s="3"/>
      <c r="Q28" s="4"/>
      <c r="R28" s="3"/>
      <c r="S28" s="122" t="s">
        <v>158</v>
      </c>
      <c r="T28" s="122"/>
      <c r="U28" s="122">
        <v>0</v>
      </c>
      <c r="V28" s="122">
        <v>0.33</v>
      </c>
      <c r="W28" s="122">
        <v>0.67</v>
      </c>
      <c r="X28" s="122">
        <v>1</v>
      </c>
      <c r="Y28" s="3"/>
      <c r="Z28" s="129"/>
      <c r="AA28" s="129"/>
      <c r="AB28" s="29"/>
      <c r="AC28" s="318"/>
      <c r="AD28" s="203"/>
      <c r="AE28" s="203"/>
      <c r="AF28" s="204"/>
    </row>
    <row r="29" spans="1:32" ht="15.75" customHeight="1" x14ac:dyDescent="0.3">
      <c r="A29" s="4"/>
      <c r="B29" s="3"/>
      <c r="C29" s="299" t="s">
        <v>13</v>
      </c>
      <c r="D29" s="203"/>
      <c r="E29" s="204"/>
      <c r="F29" s="39"/>
      <c r="G29" s="123"/>
      <c r="H29" s="176" t="s">
        <v>165</v>
      </c>
      <c r="I29" s="29"/>
      <c r="J29" s="176" t="s">
        <v>166</v>
      </c>
      <c r="K29" s="123"/>
      <c r="L29" s="123"/>
      <c r="M29" s="320" t="s">
        <v>153</v>
      </c>
      <c r="N29" s="203"/>
      <c r="O29" s="204"/>
      <c r="P29" s="3"/>
      <c r="Q29" s="4"/>
      <c r="R29" s="3"/>
      <c r="S29" s="122" t="s">
        <v>157</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97" t="s">
        <v>15</v>
      </c>
      <c r="D30" s="203"/>
      <c r="E30" s="204"/>
      <c r="F30" s="39"/>
      <c r="G30" s="124"/>
      <c r="H30" s="177">
        <f>'4. Vulnérabilité'!V43</f>
        <v>1</v>
      </c>
      <c r="I30" s="29"/>
      <c r="J30" s="177">
        <f>'5. Capacité'!P33</f>
        <v>0.67</v>
      </c>
      <c r="K30" s="125"/>
      <c r="L30" s="125"/>
      <c r="M30" s="319" t="str">
        <f t="shared" ref="M30:M37" si="1">IF(AND(H30&lt;&gt;"",J30&lt;&gt;""),IF((H30-J30)&lt;-0.32,"LOW",IF((H30-J30)&lt;0.33,"MODERATE","HIGH")),"")</f>
        <v>HIGH</v>
      </c>
      <c r="N30" s="203"/>
      <c r="O30" s="204"/>
      <c r="P30" s="3"/>
      <c r="Q30" s="4"/>
      <c r="R30" s="3"/>
      <c r="S30" s="122" t="s">
        <v>156</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98" t="s">
        <v>16</v>
      </c>
      <c r="D31" s="203"/>
      <c r="E31" s="204"/>
      <c r="F31" s="39"/>
      <c r="G31" s="124"/>
      <c r="H31" s="178">
        <f>'4. Vulnérabilité'!V44</f>
        <v>1</v>
      </c>
      <c r="I31" s="29"/>
      <c r="J31" s="178">
        <f>'5. Capacité'!P34</f>
        <v>0.67</v>
      </c>
      <c r="K31" s="125"/>
      <c r="L31" s="125"/>
      <c r="M31" s="319" t="str">
        <f t="shared" si="1"/>
        <v>HIGH</v>
      </c>
      <c r="N31" s="203"/>
      <c r="O31" s="204"/>
      <c r="P31" s="3"/>
      <c r="Q31" s="4"/>
      <c r="R31" s="3"/>
      <c r="S31" s="122" t="s">
        <v>155</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97" t="s">
        <v>17</v>
      </c>
      <c r="D32" s="203"/>
      <c r="E32" s="204"/>
      <c r="F32" s="39"/>
      <c r="G32" s="124"/>
      <c r="H32" s="177">
        <f>'4. Vulnérabilité'!V45</f>
        <v>0.67</v>
      </c>
      <c r="I32" s="29"/>
      <c r="J32" s="177">
        <f>'5. Capacité'!P35</f>
        <v>1</v>
      </c>
      <c r="K32" s="125"/>
      <c r="L32" s="125"/>
      <c r="M32" s="319" t="str">
        <f t="shared" si="1"/>
        <v>LOW</v>
      </c>
      <c r="N32" s="203"/>
      <c r="O32" s="204"/>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98" t="s">
        <v>110</v>
      </c>
      <c r="D33" s="203"/>
      <c r="E33" s="204"/>
      <c r="F33" s="39"/>
      <c r="G33" s="124"/>
      <c r="H33" s="178">
        <f>'4. Vulnérabilité'!V46</f>
        <v>0.67</v>
      </c>
      <c r="I33" s="29"/>
      <c r="J33" s="178">
        <f>'5. Capacité'!P36</f>
        <v>0.33</v>
      </c>
      <c r="K33" s="125"/>
      <c r="L33" s="125"/>
      <c r="M33" s="319" t="str">
        <f t="shared" si="1"/>
        <v>HIGH</v>
      </c>
      <c r="N33" s="203"/>
      <c r="O33" s="204"/>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97" t="s">
        <v>19</v>
      </c>
      <c r="D34" s="203"/>
      <c r="E34" s="204"/>
      <c r="F34" s="39"/>
      <c r="G34" s="124"/>
      <c r="H34" s="177">
        <f>'4. Vulnérabilité'!V47</f>
        <v>1</v>
      </c>
      <c r="I34" s="29"/>
      <c r="J34" s="177">
        <f>'5. Capacité'!P37</f>
        <v>0.33</v>
      </c>
      <c r="K34" s="125"/>
      <c r="L34" s="125"/>
      <c r="M34" s="319" t="str">
        <f t="shared" si="1"/>
        <v>HIGH</v>
      </c>
      <c r="N34" s="203"/>
      <c r="O34" s="204"/>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98" t="s">
        <v>112</v>
      </c>
      <c r="D35" s="203"/>
      <c r="E35" s="204"/>
      <c r="F35" s="39"/>
      <c r="G35" s="124"/>
      <c r="H35" s="178">
        <f>'4. Vulnérabilité'!V48</f>
        <v>0.67</v>
      </c>
      <c r="I35" s="29"/>
      <c r="J35" s="178">
        <f>'5. Capacité'!P38</f>
        <v>0.67</v>
      </c>
      <c r="K35" s="125"/>
      <c r="L35" s="125"/>
      <c r="M35" s="319" t="str">
        <f t="shared" si="1"/>
        <v>MODERATE</v>
      </c>
      <c r="N35" s="203"/>
      <c r="O35" s="204"/>
      <c r="P35" s="3"/>
      <c r="Q35" s="4"/>
      <c r="R35" s="3"/>
      <c r="S35" s="122" t="s">
        <v>154</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97" t="s">
        <v>113</v>
      </c>
      <c r="D36" s="203"/>
      <c r="E36" s="204"/>
      <c r="F36" s="39"/>
      <c r="G36" s="124"/>
      <c r="H36" s="177">
        <f>'4. Vulnérabilité'!V49</f>
        <v>1</v>
      </c>
      <c r="I36" s="29"/>
      <c r="J36" s="177">
        <f>'5. Capacité'!P39</f>
        <v>1</v>
      </c>
      <c r="K36" s="125"/>
      <c r="L36" s="125"/>
      <c r="M36" s="319" t="str">
        <f t="shared" si="1"/>
        <v>MODERATE</v>
      </c>
      <c r="N36" s="203"/>
      <c r="O36" s="204"/>
      <c r="P36" s="3"/>
      <c r="Q36" s="4"/>
      <c r="R36" s="3"/>
      <c r="S36" s="3"/>
      <c r="T36" s="3"/>
      <c r="U36" s="3"/>
      <c r="V36" s="3"/>
      <c r="W36" s="3"/>
      <c r="X36" s="3"/>
      <c r="Y36" s="3"/>
      <c r="Z36" s="134"/>
      <c r="AA36" s="29"/>
      <c r="AB36" s="29"/>
      <c r="AC36" s="29"/>
      <c r="AD36" s="29"/>
      <c r="AE36" s="29"/>
      <c r="AF36" s="29"/>
    </row>
    <row r="37" spans="1:32" ht="19.5" customHeight="1" x14ac:dyDescent="0.3">
      <c r="A37" s="4"/>
      <c r="B37" s="3"/>
      <c r="C37" s="298" t="s">
        <v>114</v>
      </c>
      <c r="D37" s="203"/>
      <c r="E37" s="204"/>
      <c r="F37" s="39"/>
      <c r="G37" s="124"/>
      <c r="H37" s="178">
        <f>'4. Vulnérabilité'!V50</f>
        <v>0.67</v>
      </c>
      <c r="I37" s="29"/>
      <c r="J37" s="178">
        <f>'5. Capacité'!P40</f>
        <v>0.67</v>
      </c>
      <c r="K37" s="125"/>
      <c r="L37" s="125"/>
      <c r="M37" s="319" t="str">
        <f t="shared" si="1"/>
        <v>MODERATE</v>
      </c>
      <c r="N37" s="203"/>
      <c r="O37" s="204"/>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97" t="s">
        <v>162</v>
      </c>
      <c r="D38" s="203"/>
      <c r="E38" s="204"/>
      <c r="F38" s="39"/>
      <c r="G38" s="124"/>
      <c r="H38" s="126" t="s">
        <v>163</v>
      </c>
      <c r="I38" s="3"/>
      <c r="J38" s="126" t="s">
        <v>163</v>
      </c>
      <c r="K38" s="125"/>
      <c r="L38" s="125"/>
      <c r="M38" s="319" t="str">
        <f t="shared" ref="M38:M40" si="2">M23</f>
        <v>ELEVEE</v>
      </c>
      <c r="N38" s="203"/>
      <c r="O38" s="204"/>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98" t="s">
        <v>164</v>
      </c>
      <c r="D39" s="203"/>
      <c r="E39" s="204"/>
      <c r="F39" s="39"/>
      <c r="G39" s="124"/>
      <c r="H39" s="126"/>
      <c r="I39" s="3"/>
      <c r="J39" s="126"/>
      <c r="K39" s="125"/>
      <c r="L39" s="125"/>
      <c r="M39" s="319" t="str">
        <f t="shared" si="2"/>
        <v>MOYENNE</v>
      </c>
      <c r="N39" s="203"/>
      <c r="O39" s="204"/>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97" t="s">
        <v>25</v>
      </c>
      <c r="D40" s="203"/>
      <c r="E40" s="204"/>
      <c r="F40" s="39"/>
      <c r="G40" s="124"/>
      <c r="H40" s="126" t="s">
        <v>163</v>
      </c>
      <c r="I40" s="3"/>
      <c r="J40" s="126" t="s">
        <v>163</v>
      </c>
      <c r="K40" s="125"/>
      <c r="L40" s="125"/>
      <c r="M40" s="319" t="str">
        <f t="shared" si="2"/>
        <v>MOYENNE</v>
      </c>
      <c r="N40" s="203"/>
      <c r="O40" s="204"/>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304"/>
      <c r="F42" s="206"/>
      <c r="G42" s="206"/>
      <c r="H42" s="207"/>
      <c r="I42" s="100"/>
      <c r="J42" s="183"/>
      <c r="K42" s="100"/>
      <c r="L42" s="100"/>
      <c r="M42" s="100"/>
      <c r="N42" s="100"/>
      <c r="O42" s="100"/>
      <c r="P42" s="3"/>
      <c r="Q42" s="4"/>
      <c r="R42" s="3"/>
      <c r="S42" s="3"/>
      <c r="T42" s="3"/>
      <c r="U42" s="3"/>
      <c r="V42" s="3"/>
      <c r="W42" s="3"/>
      <c r="X42" s="317"/>
      <c r="Y42" s="203"/>
      <c r="Z42" s="203"/>
      <c r="AA42" s="204"/>
      <c r="AB42" s="3"/>
      <c r="AC42" s="317"/>
      <c r="AD42" s="203"/>
      <c r="AE42" s="203"/>
      <c r="AF42" s="204"/>
    </row>
    <row r="43" spans="1:32" ht="12" customHeight="1" x14ac:dyDescent="0.3">
      <c r="A43" s="4"/>
      <c r="B43" s="3"/>
      <c r="C43" s="301"/>
      <c r="D43" s="203"/>
      <c r="E43" s="203"/>
      <c r="F43" s="203"/>
      <c r="G43" s="203"/>
      <c r="H43" s="203"/>
      <c r="I43" s="203"/>
      <c r="J43" s="203"/>
      <c r="K43" s="203"/>
      <c r="L43" s="203"/>
      <c r="M43" s="203"/>
      <c r="N43" s="203"/>
      <c r="O43" s="204"/>
      <c r="P43" s="3"/>
      <c r="Q43" s="4"/>
      <c r="R43" s="3"/>
      <c r="S43" s="3"/>
      <c r="T43" s="3"/>
      <c r="U43" s="3"/>
      <c r="V43" s="3"/>
      <c r="W43" s="3"/>
      <c r="X43" s="318"/>
      <c r="Y43" s="203"/>
      <c r="Z43" s="203"/>
      <c r="AA43" s="204"/>
      <c r="AB43" s="29"/>
      <c r="AC43" s="318"/>
      <c r="AD43" s="203"/>
      <c r="AE43" s="203"/>
      <c r="AF43" s="204"/>
    </row>
    <row r="44" spans="1:32" ht="15.75" customHeight="1" x14ac:dyDescent="0.3">
      <c r="A44" s="4"/>
      <c r="B44" s="3"/>
      <c r="C44" s="299" t="s">
        <v>13</v>
      </c>
      <c r="D44" s="203"/>
      <c r="E44" s="204"/>
      <c r="F44" s="39"/>
      <c r="G44" s="123"/>
      <c r="H44" s="176" t="s">
        <v>165</v>
      </c>
      <c r="I44" s="29"/>
      <c r="J44" s="176" t="s">
        <v>166</v>
      </c>
      <c r="K44" s="123"/>
      <c r="L44" s="123"/>
      <c r="M44" s="320" t="s">
        <v>153</v>
      </c>
      <c r="N44" s="203"/>
      <c r="O44" s="204"/>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97" t="s">
        <v>15</v>
      </c>
      <c r="D45" s="203"/>
      <c r="E45" s="204"/>
      <c r="F45" s="39"/>
      <c r="G45" s="124"/>
      <c r="H45" s="177">
        <f>'4. Vulnérabilité'!V57</f>
        <v>1</v>
      </c>
      <c r="I45" s="29"/>
      <c r="J45" s="177">
        <f>'5. Capacité'!P47</f>
        <v>0.67</v>
      </c>
      <c r="K45" s="125"/>
      <c r="L45" s="125"/>
      <c r="M45" s="319" t="str">
        <f t="shared" ref="M45:M52" si="3">IF(AND(H45&lt;&gt;"",J45&lt;&gt;""),IF((H45-J45)&lt;-0.32,"LOW",IF((H45-J45)&lt;0.33,"MODERATE","HIGH")),"")</f>
        <v>HIGH</v>
      </c>
      <c r="N45" s="203"/>
      <c r="O45" s="204"/>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98" t="s">
        <v>16</v>
      </c>
      <c r="D46" s="203"/>
      <c r="E46" s="204"/>
      <c r="F46" s="39"/>
      <c r="G46" s="124"/>
      <c r="H46" s="178">
        <f>'4. Vulnérabilité'!V58</f>
        <v>1</v>
      </c>
      <c r="I46" s="29"/>
      <c r="J46" s="178">
        <f>'5. Capacité'!P48</f>
        <v>0.67</v>
      </c>
      <c r="K46" s="125"/>
      <c r="L46" s="125"/>
      <c r="M46" s="319" t="str">
        <f t="shared" si="3"/>
        <v>HIGH</v>
      </c>
      <c r="N46" s="203"/>
      <c r="O46" s="204"/>
      <c r="P46" s="3"/>
      <c r="Q46" s="4"/>
      <c r="R46" s="3"/>
      <c r="S46" s="134"/>
      <c r="T46" s="329"/>
      <c r="U46" s="331"/>
      <c r="V46" s="138"/>
      <c r="W46" s="138"/>
      <c r="X46" s="134"/>
      <c r="Y46" s="134"/>
      <c r="Z46" s="134"/>
      <c r="AA46" s="134"/>
      <c r="AB46" s="29"/>
      <c r="AC46" s="134"/>
      <c r="AD46" s="134"/>
      <c r="AE46" s="134"/>
      <c r="AF46" s="134"/>
    </row>
    <row r="47" spans="1:32" ht="19.5" customHeight="1" x14ac:dyDescent="0.3">
      <c r="A47" s="4"/>
      <c r="B47" s="3"/>
      <c r="C47" s="297" t="s">
        <v>17</v>
      </c>
      <c r="D47" s="203"/>
      <c r="E47" s="204"/>
      <c r="F47" s="39"/>
      <c r="G47" s="124"/>
      <c r="H47" s="177">
        <f>'4. Vulnérabilité'!V59</f>
        <v>0.67</v>
      </c>
      <c r="I47" s="29"/>
      <c r="J47" s="177">
        <f>'5. Capacité'!P49</f>
        <v>0.67</v>
      </c>
      <c r="K47" s="125"/>
      <c r="L47" s="125"/>
      <c r="M47" s="319" t="str">
        <f t="shared" si="3"/>
        <v>MODERATE</v>
      </c>
      <c r="N47" s="203"/>
      <c r="O47" s="204"/>
      <c r="P47" s="3"/>
      <c r="Q47" s="4"/>
      <c r="R47" s="3"/>
      <c r="S47" s="134"/>
      <c r="T47" s="330"/>
      <c r="U47" s="330"/>
      <c r="V47" s="140"/>
      <c r="W47" s="140"/>
      <c r="X47" s="134"/>
      <c r="Y47" s="134"/>
      <c r="Z47" s="134"/>
      <c r="AA47" s="134"/>
      <c r="AB47" s="29"/>
      <c r="AC47" s="134"/>
      <c r="AD47" s="134"/>
      <c r="AE47" s="134"/>
      <c r="AF47" s="134"/>
    </row>
    <row r="48" spans="1:32" ht="19.5" customHeight="1" x14ac:dyDescent="0.3">
      <c r="A48" s="4"/>
      <c r="B48" s="3"/>
      <c r="C48" s="298" t="s">
        <v>110</v>
      </c>
      <c r="D48" s="203"/>
      <c r="E48" s="204"/>
      <c r="F48" s="39"/>
      <c r="G48" s="124"/>
      <c r="H48" s="178">
        <f>'4. Vulnérabilité'!V60</f>
        <v>0.67</v>
      </c>
      <c r="I48" s="29"/>
      <c r="J48" s="178">
        <f>'5. Capacité'!P50</f>
        <v>0.33</v>
      </c>
      <c r="K48" s="125"/>
      <c r="L48" s="125"/>
      <c r="M48" s="319" t="str">
        <f t="shared" si="3"/>
        <v>HIGH</v>
      </c>
      <c r="N48" s="203"/>
      <c r="O48" s="204"/>
      <c r="P48" s="3"/>
      <c r="Q48" s="4"/>
      <c r="R48" s="3"/>
      <c r="S48" s="134"/>
      <c r="T48" s="330"/>
      <c r="U48" s="330"/>
      <c r="V48" s="140"/>
      <c r="W48" s="140"/>
      <c r="X48" s="134"/>
      <c r="Y48" s="134"/>
      <c r="Z48" s="134"/>
      <c r="AA48" s="134"/>
      <c r="AB48" s="29"/>
      <c r="AC48" s="134"/>
      <c r="AD48" s="134"/>
      <c r="AE48" s="134"/>
      <c r="AF48" s="134"/>
    </row>
    <row r="49" spans="1:32" ht="19.5" customHeight="1" x14ac:dyDescent="0.3">
      <c r="A49" s="4"/>
      <c r="B49" s="3"/>
      <c r="C49" s="297" t="s">
        <v>19</v>
      </c>
      <c r="D49" s="203"/>
      <c r="E49" s="204"/>
      <c r="F49" s="39"/>
      <c r="G49" s="124"/>
      <c r="H49" s="177">
        <f>'4. Vulnérabilité'!V61</f>
        <v>0.67</v>
      </c>
      <c r="I49" s="29"/>
      <c r="J49" s="177">
        <f>'5. Capacité'!P51</f>
        <v>0.67</v>
      </c>
      <c r="K49" s="125"/>
      <c r="L49" s="125"/>
      <c r="M49" s="319" t="str">
        <f t="shared" si="3"/>
        <v>MODERATE</v>
      </c>
      <c r="N49" s="203"/>
      <c r="O49" s="204"/>
      <c r="P49" s="3"/>
      <c r="Q49" s="4"/>
      <c r="R49" s="3"/>
      <c r="S49" s="134"/>
      <c r="T49" s="330"/>
      <c r="U49" s="330"/>
      <c r="V49" s="140"/>
      <c r="W49" s="140"/>
      <c r="X49" s="134"/>
      <c r="Y49" s="134"/>
      <c r="Z49" s="134"/>
      <c r="AA49" s="134"/>
      <c r="AB49" s="29"/>
      <c r="AC49" s="134"/>
      <c r="AD49" s="134"/>
      <c r="AE49" s="134"/>
      <c r="AF49" s="134"/>
    </row>
    <row r="50" spans="1:32" ht="19.5" customHeight="1" x14ac:dyDescent="0.3">
      <c r="A50" s="4"/>
      <c r="B50" s="3"/>
      <c r="C50" s="298" t="s">
        <v>112</v>
      </c>
      <c r="D50" s="203"/>
      <c r="E50" s="204"/>
      <c r="F50" s="39"/>
      <c r="G50" s="124"/>
      <c r="H50" s="178">
        <f>'4. Vulnérabilité'!V62</f>
        <v>0.67</v>
      </c>
      <c r="I50" s="29"/>
      <c r="J50" s="178">
        <f>'5. Capacité'!P52</f>
        <v>1</v>
      </c>
      <c r="K50" s="125"/>
      <c r="L50" s="125"/>
      <c r="M50" s="319" t="str">
        <f t="shared" si="3"/>
        <v>LOW</v>
      </c>
      <c r="N50" s="203"/>
      <c r="O50" s="204"/>
      <c r="P50" s="3"/>
      <c r="Q50" s="4"/>
      <c r="R50" s="3"/>
      <c r="S50" s="134"/>
      <c r="T50" s="263"/>
      <c r="U50" s="263"/>
      <c r="V50" s="141"/>
      <c r="W50" s="141"/>
      <c r="X50" s="134"/>
      <c r="Y50" s="134"/>
      <c r="Z50" s="134"/>
      <c r="AA50" s="134"/>
      <c r="AB50" s="29"/>
      <c r="AC50" s="134"/>
      <c r="AD50" s="134"/>
      <c r="AE50" s="134"/>
      <c r="AF50" s="134"/>
    </row>
    <row r="51" spans="1:32" ht="19.5" customHeight="1" x14ac:dyDescent="0.3">
      <c r="A51" s="4"/>
      <c r="B51" s="3"/>
      <c r="C51" s="297" t="s">
        <v>113</v>
      </c>
      <c r="D51" s="203"/>
      <c r="E51" s="204"/>
      <c r="F51" s="39"/>
      <c r="G51" s="124"/>
      <c r="H51" s="177">
        <f>'4. Vulnérabilité'!V63</f>
        <v>1</v>
      </c>
      <c r="I51" s="29"/>
      <c r="J51" s="177">
        <f>'5. Capacité'!P53</f>
        <v>0.67</v>
      </c>
      <c r="K51" s="125"/>
      <c r="L51" s="125"/>
      <c r="M51" s="319" t="str">
        <f t="shared" si="3"/>
        <v>HIGH</v>
      </c>
      <c r="N51" s="203"/>
      <c r="O51" s="204"/>
      <c r="P51" s="3"/>
      <c r="Q51" s="4"/>
      <c r="R51" s="3"/>
      <c r="S51" s="134"/>
      <c r="T51" s="329"/>
      <c r="U51" s="331"/>
      <c r="V51" s="138"/>
      <c r="W51" s="138"/>
      <c r="X51" s="134"/>
      <c r="Y51" s="134"/>
      <c r="Z51" s="134"/>
      <c r="AA51" s="134"/>
      <c r="AB51" s="29"/>
      <c r="AC51" s="134"/>
      <c r="AD51" s="134"/>
      <c r="AE51" s="134"/>
      <c r="AF51" s="134"/>
    </row>
    <row r="52" spans="1:32" ht="19.5" customHeight="1" x14ac:dyDescent="0.3">
      <c r="A52" s="4"/>
      <c r="B52" s="3"/>
      <c r="C52" s="298" t="s">
        <v>114</v>
      </c>
      <c r="D52" s="203"/>
      <c r="E52" s="204"/>
      <c r="F52" s="39"/>
      <c r="G52" s="124"/>
      <c r="H52" s="178">
        <f>'4. Vulnérabilité'!V64</f>
        <v>0.33</v>
      </c>
      <c r="I52" s="29"/>
      <c r="J52" s="178">
        <f>'5. Capacité'!P54</f>
        <v>0.67</v>
      </c>
      <c r="K52" s="125"/>
      <c r="L52" s="125"/>
      <c r="M52" s="319" t="str">
        <f t="shared" si="3"/>
        <v>LOW</v>
      </c>
      <c r="N52" s="203"/>
      <c r="O52" s="204"/>
      <c r="P52" s="3"/>
      <c r="Q52" s="4"/>
      <c r="R52" s="3"/>
      <c r="S52" s="134"/>
      <c r="T52" s="330"/>
      <c r="U52" s="330"/>
      <c r="V52" s="140"/>
      <c r="W52" s="140"/>
      <c r="X52" s="134"/>
      <c r="Y52" s="134"/>
      <c r="Z52" s="134"/>
      <c r="AA52" s="134"/>
      <c r="AB52" s="29"/>
      <c r="AC52" s="134"/>
      <c r="AD52" s="134"/>
      <c r="AE52" s="134"/>
      <c r="AF52" s="134"/>
    </row>
    <row r="53" spans="1:32" ht="19.5" customHeight="1" x14ac:dyDescent="0.3">
      <c r="A53" s="4"/>
      <c r="B53" s="3"/>
      <c r="C53" s="297" t="s">
        <v>162</v>
      </c>
      <c r="D53" s="203"/>
      <c r="E53" s="204"/>
      <c r="F53" s="39"/>
      <c r="G53" s="124"/>
      <c r="H53" s="126" t="s">
        <v>163</v>
      </c>
      <c r="I53" s="29"/>
      <c r="J53" s="126" t="s">
        <v>163</v>
      </c>
      <c r="K53" s="125"/>
      <c r="L53" s="125"/>
      <c r="M53" s="319" t="str">
        <f t="shared" ref="M53:M55" si="4">M38</f>
        <v>ELEVEE</v>
      </c>
      <c r="N53" s="203"/>
      <c r="O53" s="204"/>
      <c r="P53" s="3"/>
      <c r="Q53" s="4"/>
      <c r="R53" s="3"/>
      <c r="S53" s="134"/>
      <c r="T53" s="263"/>
      <c r="U53" s="263"/>
      <c r="V53" s="141"/>
      <c r="W53" s="141"/>
      <c r="X53" s="134"/>
      <c r="Y53" s="134"/>
      <c r="Z53" s="134"/>
      <c r="AA53" s="134"/>
      <c r="AB53" s="29"/>
      <c r="AC53" s="134"/>
      <c r="AD53" s="134"/>
      <c r="AE53" s="134"/>
      <c r="AF53" s="134"/>
    </row>
    <row r="54" spans="1:32" ht="19.5" customHeight="1" x14ac:dyDescent="0.3">
      <c r="A54" s="4"/>
      <c r="B54" s="3"/>
      <c r="C54" s="298" t="s">
        <v>164</v>
      </c>
      <c r="D54" s="203"/>
      <c r="E54" s="204"/>
      <c r="F54" s="39"/>
      <c r="G54" s="124"/>
      <c r="H54" s="126"/>
      <c r="I54" s="29"/>
      <c r="J54" s="126"/>
      <c r="K54" s="125"/>
      <c r="L54" s="125"/>
      <c r="M54" s="319" t="str">
        <f t="shared" si="4"/>
        <v>MOYENNE</v>
      </c>
      <c r="N54" s="203"/>
      <c r="O54" s="204"/>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97" t="s">
        <v>25</v>
      </c>
      <c r="D55" s="203"/>
      <c r="E55" s="204"/>
      <c r="F55" s="39"/>
      <c r="G55" s="124"/>
      <c r="H55" s="126" t="s">
        <v>163</v>
      </c>
      <c r="I55" s="29"/>
      <c r="J55" s="126" t="s">
        <v>163</v>
      </c>
      <c r="K55" s="125"/>
      <c r="L55" s="125"/>
      <c r="M55" s="332" t="str">
        <f t="shared" si="4"/>
        <v>MOYENNE</v>
      </c>
      <c r="N55" s="203"/>
      <c r="O55" s="204"/>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167</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168</v>
      </c>
      <c r="N62" s="3" t="s">
        <v>169</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r:id="rId1"/>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pageSetUpPr fitToPage="1"/>
  </sheetPr>
  <dimension ref="A1:Z1000"/>
  <sheetViews>
    <sheetView showGridLines="0" topLeftCell="H7" zoomScale="91" zoomScaleNormal="91" workbookViewId="0">
      <selection activeCell="N15" sqref="N15"/>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57.296875" customWidth="1"/>
    <col min="15" max="16" width="1.69921875" customWidth="1"/>
    <col min="17" max="17" width="1" customWidth="1"/>
    <col min="18" max="26" width="10.69921875" customWidth="1"/>
  </cols>
  <sheetData>
    <row r="1" spans="1:26" ht="39.75" customHeight="1" x14ac:dyDescent="0.4">
      <c r="A1" s="144" t="s">
        <v>170</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10" t="s">
        <v>2</v>
      </c>
      <c r="B4" s="211"/>
      <c r="C4" s="212"/>
      <c r="D4" s="6"/>
      <c r="E4" s="7"/>
      <c r="F4" s="7"/>
      <c r="G4" s="7"/>
      <c r="H4" s="7"/>
      <c r="I4" s="7"/>
      <c r="J4" s="7"/>
      <c r="K4" s="7"/>
      <c r="L4" s="7"/>
      <c r="M4" s="7"/>
      <c r="N4" s="7"/>
      <c r="O4" s="7"/>
      <c r="P4" s="7"/>
      <c r="Q4" s="7"/>
      <c r="R4" s="3"/>
      <c r="S4" s="3"/>
      <c r="T4" s="3"/>
      <c r="U4" s="3"/>
      <c r="V4" s="3"/>
      <c r="W4" s="3"/>
      <c r="X4" s="3"/>
      <c r="Y4" s="3"/>
      <c r="Z4" s="3"/>
    </row>
    <row r="5" spans="1:26" ht="31.5" customHeight="1" x14ac:dyDescent="0.3">
      <c r="A5" s="213"/>
      <c r="B5" s="214"/>
      <c r="C5" s="215"/>
      <c r="D5" s="6"/>
      <c r="E5" s="308" t="str">
        <f>'1. Résumé'!E6</f>
        <v xml:space="preserve">FKT 02/18 Ampasy </v>
      </c>
      <c r="F5" s="206"/>
      <c r="G5" s="206"/>
      <c r="H5" s="207"/>
      <c r="I5" s="7"/>
      <c r="J5" s="267" t="str">
        <f>'1. Résumé'!G8</f>
        <v>Pays : Madagascar</v>
      </c>
      <c r="K5" s="207"/>
      <c r="L5" s="267"/>
      <c r="M5" s="206"/>
      <c r="N5" s="206"/>
      <c r="O5" s="207"/>
      <c r="P5" s="7"/>
      <c r="Q5" s="7"/>
      <c r="R5" s="3"/>
      <c r="S5" s="3"/>
      <c r="T5" s="3"/>
      <c r="U5" s="3"/>
      <c r="V5" s="3"/>
      <c r="W5" s="3"/>
      <c r="X5" s="3"/>
      <c r="Y5" s="3"/>
      <c r="Z5" s="3"/>
    </row>
    <row r="6" spans="1:26" ht="9.75" customHeight="1" x14ac:dyDescent="0.3">
      <c r="A6" s="216"/>
      <c r="B6" s="217"/>
      <c r="C6" s="218"/>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81" t="s">
        <v>171</v>
      </c>
      <c r="B8" s="206"/>
      <c r="C8" s="206"/>
      <c r="D8" s="206"/>
      <c r="E8" s="206"/>
      <c r="F8" s="206"/>
      <c r="G8" s="206"/>
      <c r="H8" s="206"/>
      <c r="I8" s="206"/>
      <c r="J8" s="206"/>
      <c r="K8" s="206"/>
      <c r="L8" s="206"/>
      <c r="M8" s="206"/>
      <c r="N8" s="206"/>
      <c r="O8" s="206"/>
      <c r="P8" s="206"/>
      <c r="Q8" s="207"/>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09" t="s">
        <v>172</v>
      </c>
      <c r="D10" s="206"/>
      <c r="E10" s="206"/>
      <c r="F10" s="206"/>
      <c r="G10" s="206"/>
      <c r="H10" s="206"/>
      <c r="I10" s="206"/>
      <c r="J10" s="206"/>
      <c r="K10" s="206"/>
      <c r="L10" s="206"/>
      <c r="M10" s="206"/>
      <c r="N10" s="206"/>
      <c r="O10" s="207"/>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39" t="s">
        <v>173</v>
      </c>
      <c r="D12" s="340"/>
      <c r="E12" s="341"/>
      <c r="F12" s="29"/>
      <c r="G12" s="52" t="s">
        <v>13</v>
      </c>
      <c r="H12" s="123"/>
      <c r="I12" s="123"/>
      <c r="J12" s="52" t="s">
        <v>174</v>
      </c>
      <c r="K12" s="29"/>
      <c r="L12" s="145" t="s">
        <v>175</v>
      </c>
      <c r="M12" s="146"/>
      <c r="N12" s="52" t="s">
        <v>176</v>
      </c>
      <c r="O12" s="146"/>
      <c r="P12" s="3"/>
      <c r="Q12" s="4"/>
      <c r="R12" s="3"/>
      <c r="S12" s="3"/>
      <c r="T12" s="3"/>
      <c r="U12" s="3"/>
      <c r="V12" s="3"/>
      <c r="W12" s="3"/>
      <c r="X12" s="3"/>
      <c r="Y12" s="3"/>
      <c r="Z12" s="3"/>
    </row>
    <row r="13" spans="1:26" ht="15.75" customHeight="1" x14ac:dyDescent="0.3">
      <c r="A13" s="4"/>
      <c r="B13" s="3"/>
      <c r="C13" s="342"/>
      <c r="D13" s="217"/>
      <c r="E13" s="343"/>
      <c r="F13" s="29"/>
      <c r="G13" s="147" t="s">
        <v>9</v>
      </c>
      <c r="H13" s="123"/>
      <c r="I13" s="123"/>
      <c r="J13" s="147" t="s">
        <v>177</v>
      </c>
      <c r="K13" s="29"/>
      <c r="L13" s="148" t="s">
        <v>178</v>
      </c>
      <c r="M13" s="146"/>
      <c r="N13" s="147"/>
      <c r="O13" s="146"/>
      <c r="P13" s="3"/>
      <c r="Q13" s="4"/>
      <c r="R13" s="3"/>
      <c r="S13" s="3"/>
      <c r="T13" s="3"/>
      <c r="U13" s="3"/>
      <c r="V13" s="3"/>
      <c r="W13" s="3"/>
      <c r="X13" s="3"/>
      <c r="Y13" s="3"/>
      <c r="Z13" s="3"/>
    </row>
    <row r="14" spans="1:26" ht="49.5" customHeight="1" x14ac:dyDescent="0.3">
      <c r="A14" s="4"/>
      <c r="B14" s="3"/>
      <c r="C14" s="334" t="s">
        <v>103</v>
      </c>
      <c r="D14" s="335"/>
      <c r="E14" s="336"/>
      <c r="F14" s="93"/>
      <c r="G14" s="149" t="s">
        <v>112</v>
      </c>
      <c r="H14" s="150"/>
      <c r="I14" s="150"/>
      <c r="J14" s="188" t="s">
        <v>239</v>
      </c>
      <c r="K14" s="93"/>
      <c r="L14" s="185" t="s">
        <v>295</v>
      </c>
      <c r="M14" s="153"/>
      <c r="N14" s="190" t="s">
        <v>346</v>
      </c>
      <c r="O14" s="153"/>
      <c r="P14" s="3"/>
      <c r="Q14" s="4"/>
      <c r="R14" s="3"/>
      <c r="S14" s="3"/>
      <c r="T14" s="3"/>
      <c r="U14" s="3"/>
      <c r="V14" s="3"/>
      <c r="W14" s="3"/>
      <c r="X14" s="3"/>
      <c r="Y14" s="3"/>
      <c r="Z14" s="3"/>
    </row>
    <row r="15" spans="1:26" ht="49.5" customHeight="1" x14ac:dyDescent="0.3">
      <c r="A15" s="4"/>
      <c r="B15" s="3"/>
      <c r="C15" s="337" t="s">
        <v>296</v>
      </c>
      <c r="D15" s="335"/>
      <c r="E15" s="336"/>
      <c r="F15" s="93"/>
      <c r="G15" s="186" t="s">
        <v>183</v>
      </c>
      <c r="H15" s="150"/>
      <c r="I15" s="150"/>
      <c r="J15" s="184" t="s">
        <v>297</v>
      </c>
      <c r="K15" s="93"/>
      <c r="L15" s="187" t="s">
        <v>298</v>
      </c>
      <c r="M15" s="153"/>
      <c r="N15" s="189" t="s">
        <v>299</v>
      </c>
      <c r="O15" s="153"/>
      <c r="P15" s="3"/>
      <c r="Q15" s="4"/>
      <c r="R15" s="3"/>
      <c r="S15" s="3"/>
      <c r="T15" s="3"/>
      <c r="U15" s="3"/>
      <c r="V15" s="3"/>
      <c r="W15" s="3"/>
      <c r="X15" s="3"/>
      <c r="Y15" s="3"/>
      <c r="Z15" s="3"/>
    </row>
    <row r="16" spans="1:26" ht="49.5" customHeight="1" x14ac:dyDescent="0.3">
      <c r="A16" s="4"/>
      <c r="B16" s="3"/>
      <c r="C16" s="334" t="s">
        <v>296</v>
      </c>
      <c r="D16" s="335"/>
      <c r="E16" s="336"/>
      <c r="F16" s="93"/>
      <c r="G16" s="149" t="s">
        <v>16</v>
      </c>
      <c r="H16" s="150"/>
      <c r="I16" s="150"/>
      <c r="J16" s="188" t="s">
        <v>237</v>
      </c>
      <c r="K16" s="93"/>
      <c r="L16" s="185" t="s">
        <v>301</v>
      </c>
      <c r="M16" s="153"/>
      <c r="N16" s="190" t="s">
        <v>300</v>
      </c>
      <c r="O16" s="153"/>
      <c r="P16" s="3"/>
      <c r="Q16" s="4"/>
      <c r="R16" s="3"/>
      <c r="S16" s="3"/>
      <c r="T16" s="3"/>
      <c r="U16" s="3"/>
      <c r="V16" s="3"/>
      <c r="W16" s="3"/>
      <c r="X16" s="3"/>
      <c r="Y16" s="3"/>
      <c r="Z16" s="3"/>
    </row>
    <row r="17" spans="1:26" ht="49.5" customHeight="1" x14ac:dyDescent="0.3">
      <c r="A17" s="4"/>
      <c r="B17" s="3"/>
      <c r="C17" s="337" t="s">
        <v>81</v>
      </c>
      <c r="D17" s="335"/>
      <c r="E17" s="336"/>
      <c r="F17" s="93"/>
      <c r="G17" s="155" t="s">
        <v>183</v>
      </c>
      <c r="H17" s="150"/>
      <c r="I17" s="150"/>
      <c r="J17" s="156" t="s">
        <v>238</v>
      </c>
      <c r="K17" s="93"/>
      <c r="L17" s="191" t="s">
        <v>277</v>
      </c>
      <c r="M17" s="153"/>
      <c r="N17" s="192" t="s">
        <v>236</v>
      </c>
      <c r="O17" s="153"/>
      <c r="P17" s="3"/>
      <c r="Q17" s="4"/>
      <c r="R17" s="3"/>
      <c r="S17" s="3"/>
      <c r="T17" s="3"/>
      <c r="U17" s="3"/>
      <c r="V17" s="3"/>
      <c r="W17" s="3"/>
      <c r="X17" s="3"/>
      <c r="Y17" s="3"/>
      <c r="Z17" s="3"/>
    </row>
    <row r="18" spans="1:26" ht="49.5" customHeight="1" x14ac:dyDescent="0.3">
      <c r="A18" s="4"/>
      <c r="B18" s="3"/>
      <c r="C18" s="334" t="s">
        <v>9</v>
      </c>
      <c r="D18" s="335"/>
      <c r="E18" s="336"/>
      <c r="F18" s="93"/>
      <c r="G18" s="159" t="s">
        <v>17</v>
      </c>
      <c r="H18" s="150"/>
      <c r="I18" s="150"/>
      <c r="J18" s="151" t="s">
        <v>302</v>
      </c>
      <c r="K18" s="93"/>
      <c r="L18" s="193" t="s">
        <v>303</v>
      </c>
      <c r="M18" s="153"/>
      <c r="N18" s="194" t="s">
        <v>304</v>
      </c>
      <c r="O18" s="153"/>
      <c r="P18" s="3"/>
      <c r="Q18" s="4"/>
      <c r="R18" s="3"/>
      <c r="S18" s="3"/>
      <c r="T18" s="3"/>
      <c r="U18" s="3"/>
      <c r="V18" s="3"/>
      <c r="W18" s="3"/>
      <c r="X18" s="3"/>
      <c r="Y18" s="3"/>
      <c r="Z18" s="3"/>
    </row>
    <row r="19" spans="1:26" ht="49.5" customHeight="1" x14ac:dyDescent="0.3">
      <c r="A19" s="4"/>
      <c r="B19" s="3"/>
      <c r="C19" s="337" t="s">
        <v>9</v>
      </c>
      <c r="D19" s="335"/>
      <c r="E19" s="336"/>
      <c r="F19" s="93"/>
      <c r="G19" s="155" t="s">
        <v>18</v>
      </c>
      <c r="H19" s="150"/>
      <c r="I19" s="150"/>
      <c r="J19" s="156" t="s">
        <v>324</v>
      </c>
      <c r="K19" s="93"/>
      <c r="L19" s="191" t="s">
        <v>323</v>
      </c>
      <c r="M19" s="153"/>
      <c r="N19" s="192" t="s">
        <v>325</v>
      </c>
      <c r="O19" s="153"/>
      <c r="P19" s="3"/>
      <c r="Q19" s="4"/>
      <c r="R19" s="3"/>
      <c r="S19" s="3"/>
      <c r="T19" s="3"/>
      <c r="U19" s="3"/>
      <c r="V19" s="3"/>
      <c r="W19" s="3"/>
      <c r="X19" s="3"/>
      <c r="Y19" s="3"/>
      <c r="Z19" s="3"/>
    </row>
    <row r="20" spans="1:26" ht="49.5" customHeight="1" x14ac:dyDescent="0.3">
      <c r="A20" s="4"/>
      <c r="B20" s="3"/>
      <c r="C20" s="338" t="s">
        <v>90</v>
      </c>
      <c r="D20" s="335"/>
      <c r="E20" s="336"/>
      <c r="F20" s="93"/>
      <c r="G20" s="149" t="s">
        <v>16</v>
      </c>
      <c r="H20" s="150"/>
      <c r="I20" s="150"/>
      <c r="J20" s="151" t="s">
        <v>237</v>
      </c>
      <c r="K20" s="93"/>
      <c r="L20" s="193" t="s">
        <v>322</v>
      </c>
      <c r="M20" s="153"/>
      <c r="N20" s="194" t="s">
        <v>240</v>
      </c>
      <c r="O20" s="153"/>
      <c r="P20" s="3"/>
      <c r="Q20" s="4"/>
      <c r="R20" s="3"/>
      <c r="S20" s="3"/>
      <c r="T20" s="3"/>
      <c r="U20" s="3"/>
      <c r="V20" s="3"/>
      <c r="W20" s="3"/>
      <c r="X20" s="3"/>
      <c r="Y20" s="3"/>
      <c r="Z20" s="3"/>
    </row>
    <row r="21" spans="1:26" ht="49.5" customHeight="1" x14ac:dyDescent="0.3">
      <c r="A21" s="4"/>
      <c r="B21" s="3"/>
      <c r="C21" s="344"/>
      <c r="D21" s="335"/>
      <c r="E21" s="336"/>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34" t="s">
        <v>9</v>
      </c>
      <c r="D22" s="335"/>
      <c r="E22" s="336"/>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45"/>
      <c r="D25" s="214"/>
      <c r="E25" s="214"/>
      <c r="F25" s="3"/>
      <c r="G25" s="346"/>
      <c r="H25" s="214"/>
      <c r="I25" s="214"/>
      <c r="J25" s="214"/>
      <c r="K25" s="3"/>
      <c r="L25" s="114"/>
      <c r="M25" s="114"/>
      <c r="N25" s="160"/>
      <c r="O25" s="114"/>
      <c r="P25" s="3"/>
      <c r="Q25" s="3"/>
      <c r="R25" s="3"/>
      <c r="S25" s="3"/>
      <c r="T25" s="3"/>
      <c r="U25" s="3"/>
      <c r="V25" s="3"/>
      <c r="W25" s="3"/>
      <c r="X25" s="3"/>
      <c r="Y25" s="3"/>
      <c r="Z25" s="3"/>
    </row>
    <row r="26" spans="1:26" ht="39.75" customHeight="1" x14ac:dyDescent="0.3">
      <c r="A26" s="281" t="s">
        <v>180</v>
      </c>
      <c r="B26" s="206"/>
      <c r="C26" s="206"/>
      <c r="D26" s="206"/>
      <c r="E26" s="206"/>
      <c r="F26" s="206"/>
      <c r="G26" s="206"/>
      <c r="H26" s="206"/>
      <c r="I26" s="206"/>
      <c r="J26" s="206"/>
      <c r="K26" s="206"/>
      <c r="L26" s="206"/>
      <c r="M26" s="206"/>
      <c r="N26" s="206"/>
      <c r="O26" s="206"/>
      <c r="P26" s="206"/>
      <c r="Q26" s="207"/>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9" t="s">
        <v>181</v>
      </c>
      <c r="D28" s="206"/>
      <c r="E28" s="206"/>
      <c r="F28" s="206"/>
      <c r="G28" s="206"/>
      <c r="H28" s="206"/>
      <c r="I28" s="206"/>
      <c r="J28" s="206"/>
      <c r="K28" s="206"/>
      <c r="L28" s="206"/>
      <c r="M28" s="206"/>
      <c r="N28" s="206"/>
      <c r="O28" s="207"/>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58" t="s">
        <v>241</v>
      </c>
      <c r="D30" s="233"/>
      <c r="E30" s="233"/>
      <c r="F30" s="233"/>
      <c r="G30" s="233"/>
      <c r="H30" s="233"/>
      <c r="I30" s="233"/>
      <c r="J30" s="233"/>
      <c r="K30" s="233"/>
      <c r="L30" s="233"/>
      <c r="M30" s="233"/>
      <c r="N30" s="233"/>
      <c r="O30" s="333"/>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182</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179</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112</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183</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114</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184</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164</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scale="32" orientation="portrait" r:id="rId1"/>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pageSetUpPr fitToPage="1"/>
  </sheetPr>
  <dimension ref="A1:Z1000"/>
  <sheetViews>
    <sheetView showGridLines="0" zoomScale="89" zoomScaleNormal="89" workbookViewId="0">
      <selection activeCell="G13" sqref="G13"/>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185</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8"/>
      <c r="C3" s="211"/>
      <c r="D3" s="212"/>
      <c r="E3" s="6"/>
      <c r="F3" s="6"/>
      <c r="G3" s="7"/>
      <c r="H3" s="7"/>
      <c r="I3" s="7"/>
      <c r="J3" s="7"/>
      <c r="K3" s="7"/>
      <c r="L3" s="7"/>
      <c r="M3" s="7"/>
      <c r="N3" s="7"/>
      <c r="O3" s="7"/>
      <c r="P3" s="3"/>
      <c r="Q3" s="3"/>
      <c r="R3" s="3"/>
      <c r="S3" s="3"/>
      <c r="T3" s="3"/>
      <c r="U3" s="3"/>
      <c r="V3" s="3"/>
      <c r="W3" s="3"/>
      <c r="X3" s="3"/>
      <c r="Y3" s="3"/>
      <c r="Z3" s="3"/>
    </row>
    <row r="4" spans="1:26" ht="31.5" customHeight="1" x14ac:dyDescent="0.3">
      <c r="A4" s="163"/>
      <c r="B4" s="213"/>
      <c r="C4" s="214"/>
      <c r="D4" s="215"/>
      <c r="E4" s="308" t="str">
        <f>'1. Résumé'!E6</f>
        <v xml:space="preserve">FKT 02/18 Ampasy </v>
      </c>
      <c r="F4" s="206"/>
      <c r="G4" s="207"/>
      <c r="H4" s="164"/>
      <c r="I4" s="308" t="str">
        <f>'1. Résumé'!E10</f>
        <v>Société nationale : Croix-Rouge Malagasy</v>
      </c>
      <c r="J4" s="206"/>
      <c r="K4" s="207"/>
      <c r="L4" s="164"/>
      <c r="M4" s="164"/>
      <c r="N4" s="7"/>
      <c r="O4" s="7"/>
      <c r="P4" s="3"/>
      <c r="Q4" s="3"/>
      <c r="R4" s="3"/>
      <c r="S4" s="3"/>
      <c r="T4" s="3"/>
      <c r="U4" s="3"/>
      <c r="V4" s="3"/>
      <c r="W4" s="3"/>
      <c r="X4" s="3"/>
      <c r="Y4" s="3"/>
      <c r="Z4" s="3"/>
    </row>
    <row r="5" spans="1:26" ht="9.75" customHeight="1" x14ac:dyDescent="0.3">
      <c r="A5" s="163"/>
      <c r="B5" s="216"/>
      <c r="C5" s="217"/>
      <c r="D5" s="218"/>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81" t="s">
        <v>186</v>
      </c>
      <c r="B7" s="206"/>
      <c r="C7" s="206"/>
      <c r="D7" s="206"/>
      <c r="E7" s="206"/>
      <c r="F7" s="206"/>
      <c r="G7" s="206"/>
      <c r="H7" s="206"/>
      <c r="I7" s="206"/>
      <c r="J7" s="206"/>
      <c r="K7" s="206"/>
      <c r="L7" s="206"/>
      <c r="M7" s="206"/>
      <c r="N7" s="206"/>
      <c r="O7" s="206"/>
      <c r="P7" s="206"/>
      <c r="Q7" s="207"/>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09" t="s">
        <v>187</v>
      </c>
      <c r="D9" s="206"/>
      <c r="E9" s="206"/>
      <c r="F9" s="206"/>
      <c r="G9" s="206"/>
      <c r="H9" s="206"/>
      <c r="I9" s="206"/>
      <c r="J9" s="206"/>
      <c r="K9" s="206"/>
      <c r="L9" s="206"/>
      <c r="M9" s="206"/>
      <c r="N9" s="206"/>
      <c r="O9" s="207"/>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188</v>
      </c>
      <c r="D11" s="3"/>
      <c r="E11" s="165" t="s">
        <v>189</v>
      </c>
      <c r="F11" s="3"/>
      <c r="G11" s="165" t="s">
        <v>190</v>
      </c>
      <c r="H11" s="3"/>
      <c r="I11" s="165" t="s">
        <v>191</v>
      </c>
      <c r="J11" s="3"/>
      <c r="K11" s="165" t="s">
        <v>192</v>
      </c>
      <c r="L11" s="3"/>
      <c r="M11" s="165" t="s">
        <v>193</v>
      </c>
      <c r="N11" s="3"/>
      <c r="O11" s="165" t="s">
        <v>194</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60" customHeight="1" x14ac:dyDescent="0.3">
      <c r="A13" s="4"/>
      <c r="B13" s="3"/>
      <c r="C13" s="166" t="s">
        <v>207</v>
      </c>
      <c r="D13" s="3"/>
      <c r="E13" s="167" t="s">
        <v>230</v>
      </c>
      <c r="F13" s="3"/>
      <c r="G13" s="167" t="s">
        <v>357</v>
      </c>
      <c r="H13" s="3"/>
      <c r="I13" s="167" t="s">
        <v>267</v>
      </c>
      <c r="J13" s="3"/>
      <c r="K13" s="167" t="s">
        <v>276</v>
      </c>
      <c r="L13" s="3"/>
      <c r="M13" s="167" t="s">
        <v>216</v>
      </c>
      <c r="N13" s="3"/>
      <c r="O13" s="168" t="s">
        <v>270</v>
      </c>
      <c r="P13" s="3"/>
      <c r="Q13" s="4"/>
      <c r="R13" s="3"/>
      <c r="S13" s="3"/>
      <c r="T13" s="3"/>
      <c r="U13" s="3"/>
      <c r="V13" s="3"/>
      <c r="W13" s="3"/>
      <c r="X13" s="3"/>
      <c r="Y13" s="3"/>
      <c r="Z13" s="3"/>
    </row>
    <row r="14" spans="1:26" ht="9.75" customHeight="1" x14ac:dyDescent="0.3">
      <c r="A14" s="4"/>
      <c r="B14" s="3"/>
      <c r="C14" s="3"/>
      <c r="D14" s="3"/>
      <c r="E14" s="3"/>
      <c r="F14" s="3"/>
      <c r="G14" s="3"/>
      <c r="H14" s="3"/>
      <c r="I14" s="3"/>
      <c r="J14" s="3"/>
      <c r="K14" s="3"/>
      <c r="L14" s="3"/>
      <c r="M14" s="3"/>
      <c r="N14" s="3"/>
      <c r="O14" s="3"/>
      <c r="P14" s="3"/>
      <c r="Q14" s="4"/>
      <c r="R14" s="3"/>
      <c r="S14" s="3"/>
      <c r="T14" s="3"/>
      <c r="U14" s="3"/>
      <c r="V14" s="3"/>
      <c r="W14" s="3"/>
      <c r="X14" s="3"/>
      <c r="Y14" s="3"/>
      <c r="Z14" s="3"/>
    </row>
    <row r="15" spans="1:26" ht="60" customHeight="1" x14ac:dyDescent="0.3">
      <c r="A15" s="4"/>
      <c r="B15" s="3"/>
      <c r="C15" s="166" t="s">
        <v>208</v>
      </c>
      <c r="D15" s="3"/>
      <c r="E15" s="167" t="s">
        <v>265</v>
      </c>
      <c r="F15" s="3"/>
      <c r="G15" s="167" t="s">
        <v>264</v>
      </c>
      <c r="H15" s="3"/>
      <c r="I15" s="167" t="s">
        <v>273</v>
      </c>
      <c r="J15" s="3"/>
      <c r="K15" s="167" t="s">
        <v>271</v>
      </c>
      <c r="L15" s="3"/>
      <c r="M15" s="167" t="s">
        <v>215</v>
      </c>
      <c r="N15" s="3"/>
      <c r="O15" s="167" t="s">
        <v>217</v>
      </c>
      <c r="P15" s="3"/>
      <c r="Q15" s="4"/>
      <c r="R15" s="3"/>
      <c r="S15" s="3"/>
      <c r="T15" s="3"/>
      <c r="U15" s="3"/>
      <c r="V15" s="3"/>
      <c r="W15" s="3"/>
      <c r="X15" s="3"/>
      <c r="Y15" s="3"/>
      <c r="Z15" s="3"/>
    </row>
    <row r="16" spans="1:26" ht="9.75" customHeight="1" x14ac:dyDescent="0.3">
      <c r="A16" s="4"/>
      <c r="B16" s="3"/>
      <c r="C16" s="3"/>
      <c r="D16" s="3"/>
      <c r="E16" s="3"/>
      <c r="F16" s="3"/>
      <c r="G16" s="3"/>
      <c r="H16" s="3"/>
      <c r="I16" s="3"/>
      <c r="J16" s="3"/>
      <c r="K16" s="3"/>
      <c r="L16" s="3"/>
      <c r="M16" s="3"/>
      <c r="N16" s="3"/>
      <c r="O16" s="3"/>
      <c r="P16" s="3"/>
      <c r="Q16" s="4"/>
      <c r="R16" s="3"/>
      <c r="S16" s="3"/>
      <c r="T16" s="3"/>
      <c r="U16" s="3"/>
      <c r="V16" s="3"/>
      <c r="W16" s="3"/>
      <c r="X16" s="3"/>
      <c r="Y16" s="3"/>
      <c r="Z16" s="3"/>
    </row>
    <row r="17" spans="1:26" ht="60" customHeight="1" x14ac:dyDescent="0.3">
      <c r="A17" s="4"/>
      <c r="B17" s="3"/>
      <c r="C17" s="166" t="s">
        <v>232</v>
      </c>
      <c r="D17" s="3"/>
      <c r="E17" s="167" t="s">
        <v>266</v>
      </c>
      <c r="F17" s="3"/>
      <c r="G17" s="167" t="s">
        <v>263</v>
      </c>
      <c r="H17" s="3"/>
      <c r="I17" s="167" t="s">
        <v>268</v>
      </c>
      <c r="J17" s="3"/>
      <c r="K17" s="167" t="s">
        <v>272</v>
      </c>
      <c r="L17" s="3"/>
      <c r="M17" s="167" t="s">
        <v>269</v>
      </c>
      <c r="N17" s="3"/>
      <c r="O17" s="167" t="s">
        <v>218</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6" t="s">
        <v>9</v>
      </c>
      <c r="D19" s="3"/>
      <c r="E19" s="167"/>
      <c r="F19" s="3"/>
      <c r="G19" s="167"/>
      <c r="H19" s="3"/>
      <c r="I19" s="167"/>
      <c r="J19" s="3"/>
      <c r="K19" s="167"/>
      <c r="L19" s="3"/>
      <c r="M19" s="167"/>
      <c r="N19" s="3"/>
      <c r="O19" s="167"/>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6"/>
      <c r="D21" s="3"/>
      <c r="E21" s="167"/>
      <c r="F21" s="3"/>
      <c r="G21" s="167"/>
      <c r="H21" s="3"/>
      <c r="I21" s="167"/>
      <c r="J21" s="3"/>
      <c r="K21" s="167"/>
      <c r="L21" s="3"/>
      <c r="M21" s="167"/>
      <c r="N21" s="3"/>
      <c r="O21" s="167"/>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6"/>
      <c r="D23" s="3"/>
      <c r="E23" s="167"/>
      <c r="F23" s="3"/>
      <c r="G23" s="167"/>
      <c r="H23" s="3"/>
      <c r="I23" s="167"/>
      <c r="J23" s="3"/>
      <c r="K23" s="167"/>
      <c r="L23" s="3"/>
      <c r="M23" s="167"/>
      <c r="N23" s="3"/>
      <c r="O23" s="167"/>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6"/>
      <c r="D25" s="3"/>
      <c r="E25" s="167"/>
      <c r="F25" s="3"/>
      <c r="G25" s="167"/>
      <c r="H25" s="3"/>
      <c r="I25" s="167"/>
      <c r="J25" s="3"/>
      <c r="K25" s="167"/>
      <c r="L25" s="3"/>
      <c r="M25" s="167"/>
      <c r="N25" s="3"/>
      <c r="O25" s="167"/>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6"/>
      <c r="D27" s="3"/>
      <c r="E27" s="167"/>
      <c r="F27" s="3"/>
      <c r="G27" s="167"/>
      <c r="H27" s="3"/>
      <c r="I27" s="167"/>
      <c r="J27" s="3"/>
      <c r="K27" s="167"/>
      <c r="L27" s="3"/>
      <c r="M27" s="167"/>
      <c r="N27" s="3"/>
      <c r="O27" s="167"/>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6"/>
      <c r="D29" s="3"/>
      <c r="E29" s="167"/>
      <c r="F29" s="3"/>
      <c r="G29" s="167"/>
      <c r="H29" s="3"/>
      <c r="I29" s="167"/>
      <c r="J29" s="3"/>
      <c r="K29" s="167"/>
      <c r="L29" s="3"/>
      <c r="M29" s="167"/>
      <c r="N29" s="3"/>
      <c r="O29" s="167"/>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6"/>
      <c r="D31" s="3"/>
      <c r="E31" s="167"/>
      <c r="F31" s="3"/>
      <c r="G31" s="167"/>
      <c r="H31" s="3"/>
      <c r="I31" s="167"/>
      <c r="J31" s="3"/>
      <c r="K31" s="167"/>
      <c r="L31" s="3"/>
      <c r="M31" s="167"/>
      <c r="N31" s="3"/>
      <c r="O31" s="167"/>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47" t="s">
        <v>195</v>
      </c>
      <c r="D33" s="206"/>
      <c r="E33" s="206"/>
      <c r="F33" s="206"/>
      <c r="G33" s="206"/>
      <c r="H33" s="206"/>
      <c r="I33" s="206"/>
      <c r="J33" s="206"/>
      <c r="K33" s="206"/>
      <c r="L33" s="206"/>
      <c r="M33" s="206"/>
      <c r="N33" s="206"/>
      <c r="O33" s="207"/>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9" t="s">
        <v>196</v>
      </c>
      <c r="D35" s="169"/>
      <c r="E35" s="169" t="s">
        <v>197</v>
      </c>
      <c r="F35" s="169"/>
      <c r="G35" s="169" t="s">
        <v>198</v>
      </c>
      <c r="H35" s="169"/>
      <c r="I35" s="169" t="s">
        <v>199</v>
      </c>
      <c r="J35" s="169"/>
      <c r="K35" s="3"/>
      <c r="L35" s="3"/>
      <c r="M35" s="3"/>
      <c r="N35" s="3"/>
      <c r="O35" s="3"/>
      <c r="P35" s="3"/>
      <c r="Q35" s="4"/>
      <c r="R35" s="3"/>
      <c r="S35" s="3"/>
      <c r="T35" s="3"/>
      <c r="U35" s="3"/>
      <c r="V35" s="3"/>
      <c r="W35" s="3"/>
      <c r="X35" s="3"/>
      <c r="Y35" s="3"/>
      <c r="Z35" s="3"/>
    </row>
    <row r="36" spans="1:26" ht="39.75" customHeight="1" x14ac:dyDescent="0.3">
      <c r="A36" s="4"/>
      <c r="B36" s="3"/>
      <c r="C36" s="166"/>
      <c r="D36" s="3"/>
      <c r="E36" s="166" t="s">
        <v>234</v>
      </c>
      <c r="F36" s="3"/>
      <c r="G36" s="166"/>
      <c r="H36" s="3"/>
      <c r="I36" s="166" t="s">
        <v>233</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scale="25" orientation="portrait" r:id="rId1"/>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2</vt:i4>
      </vt:variant>
    </vt:vector>
  </HeadingPairs>
  <TitlesOfParts>
    <vt:vector size="11"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lpstr>'1. Résumé'!Zone_d_impression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cp:lastPrinted>2025-01-11T09:40:09Z</cp:lastPrinted>
  <dcterms:created xsi:type="dcterms:W3CDTF">2019-09-11T00:16:49Z</dcterms:created>
  <dcterms:modified xsi:type="dcterms:W3CDTF">2025-02-20T07:05:35Z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