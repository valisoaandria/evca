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madagascarredcross-my.sharepoint.com/personal/jean_chry_crmada_org/Documents/Bureau/DOC JC PMER-MENABE/pmer DOC JC/Rapport mensuel des Activités MENABE/Année 2025/Juin/RAPPORT EVCA CC Canvas/"/>
    </mc:Choice>
  </mc:AlternateContent>
  <xr:revisionPtr revIDLastSave="1" documentId="13_ncr:1_{1648C72D-E933-49A0-8E67-226A50E2C355}" xr6:coauthVersionLast="47" xr6:coauthVersionMax="47" xr10:uidLastSave="{375B7280-59DE-4024-AC00-DF425774D7AC}"/>
  <bookViews>
    <workbookView xWindow="-108" yWindow="-108" windowWidth="23256" windowHeight="12456" activeTab="2" xr2:uid="{00000000-000D-0000-FFFF-FFFF00000000}"/>
  </bookViews>
  <sheets>
    <sheet name="COMMENCEZ ICI" sheetId="1" r:id="rId1"/>
    <sheet name="1. Résumé" sheetId="2" r:id="rId2"/>
    <sheet name="2. Contexte" sheetId="3" r:id="rId3"/>
    <sheet name="3. Dangers" sheetId="4" r:id="rId4"/>
    <sheet name="4. Vulnérabilité" sheetId="5" r:id="rId5"/>
    <sheet name="5. Capacité" sheetId="6" r:id="rId6"/>
    <sheet name="6. Cohésion, Inclusion, Connect" sheetId="7" r:id="rId7"/>
    <sheet name="7. Risque" sheetId="8" r:id="rId8"/>
    <sheet name="8. Analyse" sheetId="9" r:id="rId9"/>
    <sheet name="9. Plan d’action" sheetId="10" r:id="rId10"/>
    <sheet name="Feuil1" sheetId="11" r:id="rId11"/>
  </sheets>
  <externalReferences>
    <externalReference r:id="rId12"/>
  </externalReferences>
  <definedNames>
    <definedName name="Drop_down2" localSheetId="6">'8.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0" i="3" l="1"/>
  <c r="V26" i="3" s="1"/>
  <c r="U20" i="3"/>
  <c r="U26" i="3" s="1"/>
  <c r="E89" i="2" l="1"/>
  <c r="P67" i="6"/>
  <c r="P66" i="6"/>
  <c r="P65" i="6"/>
  <c r="P64" i="6"/>
  <c r="P63" i="6"/>
  <c r="P62" i="6"/>
  <c r="P61" i="6"/>
  <c r="P60" i="6"/>
  <c r="V72" i="5"/>
  <c r="V71" i="5"/>
  <c r="V70" i="5"/>
  <c r="V69" i="5"/>
  <c r="V68" i="5"/>
  <c r="V67" i="5"/>
  <c r="V66" i="5"/>
  <c r="V65" i="5"/>
  <c r="V61" i="5"/>
  <c r="E61" i="2"/>
  <c r="E6" i="3"/>
  <c r="C42" i="8" l="1"/>
  <c r="C27" i="8"/>
  <c r="C12" i="8"/>
  <c r="C44" i="6"/>
  <c r="C30" i="6"/>
  <c r="C51" i="5"/>
  <c r="C39" i="5"/>
  <c r="C67" i="2" l="1"/>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2" i="6"/>
  <c r="J52" i="8" s="1"/>
  <c r="P51" i="6"/>
  <c r="J51" i="8" s="1"/>
  <c r="J50" i="8"/>
  <c r="J49" i="8"/>
  <c r="J48" i="8"/>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4" i="6" s="1"/>
  <c r="M27" i="6"/>
  <c r="P27" i="6" s="1"/>
  <c r="G27" i="6"/>
  <c r="G41" i="6" s="1"/>
  <c r="G53" i="6" s="1"/>
  <c r="P26" i="6"/>
  <c r="J22" i="8" s="1"/>
  <c r="P25" i="6"/>
  <c r="J21" i="8" s="1"/>
  <c r="P24" i="6"/>
  <c r="J20" i="8" s="1"/>
  <c r="P23" i="6"/>
  <c r="J19" i="8" s="1"/>
  <c r="P22" i="6"/>
  <c r="J18" i="8" s="1"/>
  <c r="P21" i="6"/>
  <c r="J17" i="8" s="1"/>
  <c r="P20" i="6"/>
  <c r="J16" i="8" s="1"/>
  <c r="P19" i="6"/>
  <c r="J15" i="8" s="1"/>
  <c r="K5" i="6"/>
  <c r="E5" i="6"/>
  <c r="H52" i="8"/>
  <c r="V60" i="5"/>
  <c r="H51" i="8" s="1"/>
  <c r="V59" i="5"/>
  <c r="H50" i="8" s="1"/>
  <c r="V58" i="5"/>
  <c r="H49" i="8" s="1"/>
  <c r="V57" i="5"/>
  <c r="H48" i="8" s="1"/>
  <c r="V56" i="5"/>
  <c r="H47" i="8" s="1"/>
  <c r="H46" i="8"/>
  <c r="V54" i="5"/>
  <c r="H45" i="8" s="1"/>
  <c r="V49" i="5"/>
  <c r="H37" i="8" s="1"/>
  <c r="V48" i="5"/>
  <c r="H36" i="8" s="1"/>
  <c r="V47" i="5"/>
  <c r="H35" i="8" s="1"/>
  <c r="V46" i="5"/>
  <c r="H34" i="8" s="1"/>
  <c r="V45" i="5"/>
  <c r="H33" i="8" s="1"/>
  <c r="V44" i="5"/>
  <c r="H32" i="8" s="1"/>
  <c r="V43" i="5"/>
  <c r="H31" i="8" s="1"/>
  <c r="V42" i="5"/>
  <c r="H30" i="8" s="1"/>
  <c r="S37" i="5"/>
  <c r="V37" i="5" s="1"/>
  <c r="M37" i="5"/>
  <c r="G37" i="5"/>
  <c r="V36" i="5"/>
  <c r="H22" i="8" s="1"/>
  <c r="V35" i="5"/>
  <c r="H21" i="8" s="1"/>
  <c r="V34" i="5"/>
  <c r="H20" i="8" s="1"/>
  <c r="V33" i="5"/>
  <c r="H19" i="8" s="1"/>
  <c r="V32" i="5"/>
  <c r="H18" i="8" s="1"/>
  <c r="V31" i="5"/>
  <c r="H17" i="8" s="1"/>
  <c r="V30" i="5"/>
  <c r="H16" i="8" s="1"/>
  <c r="V29" i="5"/>
  <c r="H15" i="8" s="1"/>
  <c r="R5" i="5"/>
  <c r="K5" i="5"/>
  <c r="E5" i="5"/>
  <c r="AA5" i="4"/>
  <c r="R5" i="4"/>
  <c r="K5" i="4"/>
  <c r="E5" i="4"/>
  <c r="AA4" i="4"/>
  <c r="AA3" i="4"/>
  <c r="AA2" i="4"/>
  <c r="W26" i="3"/>
  <c r="S24" i="3"/>
  <c r="O24" i="3"/>
  <c r="K24" i="3"/>
  <c r="G24" i="3"/>
  <c r="V27" i="3"/>
  <c r="U27" i="3"/>
  <c r="S20" i="3"/>
  <c r="R22" i="3" s="1"/>
  <c r="O20" i="3"/>
  <c r="N22" i="3" s="1"/>
  <c r="K20" i="3"/>
  <c r="J22" i="3" s="1"/>
  <c r="F22" i="3"/>
  <c r="M16" i="8" l="1"/>
  <c r="M52" i="8"/>
  <c r="M22" i="8"/>
  <c r="E22" i="3"/>
  <c r="G22" i="3" s="1"/>
  <c r="M37" i="8"/>
  <c r="M53" i="6"/>
  <c r="P53"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P42" i="6" l="1"/>
  <c r="M54" i="6"/>
  <c r="P54" i="6" s="1"/>
  <c r="V22" i="3"/>
  <c r="U22" i="3"/>
  <c r="W27" i="3"/>
  <c r="W22" i="3" l="1"/>
</calcChain>
</file>

<file path=xl/sharedStrings.xml><?xml version="1.0" encoding="utf-8"?>
<sst xmlns="http://schemas.openxmlformats.org/spreadsheetml/2006/main" count="811" uniqueCount="337">
  <si>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</si>
  <si>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À propos de ce modèle</t>
  </si>
  <si>
    <r>
      <rPr>
        <sz val="12"/>
        <color theme="1"/>
        <rFont val="Arial"/>
        <family val="2"/>
      </rPr>
      <t>Ce modèle a été préparé dans l’objectif de documenter les principaux résultats d'une Évaluation des Vulnérabilités et des Capacités Améliorée</t>
    </r>
    <r>
      <rPr>
        <sz val="12"/>
        <color theme="1"/>
        <rFont val="Arial"/>
        <family val="2"/>
      </rPr>
      <t xml:space="preserve"> (EVCa).</t>
    </r>
    <r>
      <rPr>
        <sz val="12"/>
        <color theme="1"/>
        <rFont val="Arial"/>
        <family val="2"/>
      </rPr>
      <t xml:space="preserve"> </t>
    </r>
    <r>
      <rPr>
        <sz val="12"/>
        <color theme="1"/>
        <rFont val="Arial"/>
        <family val="2"/>
      </rPr>
      <t>Le principal avantage par rapport aux rapports réguliers basés sur Microsoft Word est triple.</t>
    </r>
    <r>
      <rPr>
        <sz val="12"/>
        <color theme="1"/>
        <rFont val="Arial"/>
        <family val="2"/>
      </rPr>
      <t xml:space="preserve"> </t>
    </r>
    <r>
      <rPr>
        <b/>
        <i/>
        <sz val="12"/>
        <color theme="1"/>
        <rFont val="Arial"/>
        <family val="2"/>
      </rPr>
      <t>Premièrement</t>
    </r>
    <r>
      <rPr>
        <sz val="12"/>
        <color theme="1"/>
        <rFont val="Arial"/>
        <family val="2"/>
      </rPr>
      <t xml:space="preserve">, </t>
    </r>
    <r>
      <rPr>
        <b/>
        <sz val="12"/>
        <color theme="1"/>
        <rFont val="Arial"/>
        <family val="2"/>
      </rPr>
      <t>il calcule automatiquement le risque</t>
    </r>
    <r>
      <rPr>
        <sz val="12"/>
        <color theme="1"/>
        <rFont val="Arial"/>
        <family val="2"/>
      </rPr>
      <t>, sur la base de vos évaluations de l'exposition, des vulnérabilités et des capacités pour un maximum de quatre dangers.</t>
    </r>
    <r>
      <rPr>
        <sz val="12"/>
        <color theme="1"/>
        <rFont val="Arial"/>
        <family val="2"/>
      </rPr>
      <t xml:space="preserve"> </t>
    </r>
    <r>
      <rPr>
        <sz val="12"/>
        <color theme="1"/>
        <rFont val="Arial"/>
        <family val="2"/>
      </rPr>
      <t xml:space="preserve">Les résultats détaillés sont présentés dans la feuille 8 (Risque), tandis que le résumé est visualisé dans un schéma </t>
    </r>
    <r>
      <rPr>
        <sz val="12"/>
        <color theme="1"/>
        <rFont val="Arial"/>
        <family val="2"/>
      </rPr>
      <t xml:space="preserve">EVCa  </t>
    </r>
    <r>
      <rPr>
        <sz val="12"/>
        <color theme="1"/>
        <rFont val="Arial"/>
        <family val="2"/>
      </rPr>
      <t xml:space="preserve">en toile d'araignée </t>
    </r>
    <r>
      <rPr>
        <sz val="12"/>
        <color theme="1"/>
        <rFont val="Arial"/>
        <family val="2"/>
      </rPr>
      <t>dans la feuille 1.</t>
    </r>
    <r>
      <rPr>
        <sz val="12"/>
        <color theme="1"/>
        <rFont val="Arial"/>
        <family val="2"/>
      </rPr>
      <t xml:space="preserve"> </t>
    </r>
    <r>
      <rPr>
        <b/>
        <i/>
        <sz val="12"/>
        <color theme="1"/>
        <rFont val="Arial"/>
        <family val="2"/>
      </rPr>
      <t>Deuxièmement</t>
    </r>
    <r>
      <rPr>
        <sz val="12"/>
        <color theme="1"/>
        <rFont val="Arial"/>
        <family val="2"/>
      </rPr>
      <t xml:space="preserve">, </t>
    </r>
    <r>
      <rPr>
        <b/>
        <sz val="12"/>
        <color theme="1"/>
        <rFont val="Arial"/>
        <family val="2"/>
      </rPr>
      <t xml:space="preserve">il calcule également le </t>
    </r>
    <r>
      <rPr>
        <b/>
        <sz val="12"/>
        <color theme="1"/>
        <rFont val="Arial"/>
        <family val="2"/>
      </rPr>
      <t xml:space="preserve">degré </t>
    </r>
    <r>
      <rPr>
        <b/>
        <sz val="12"/>
        <color theme="1"/>
        <rFont val="Arial"/>
        <family val="2"/>
      </rPr>
      <t>de résilience</t>
    </r>
    <r>
      <rPr>
        <sz val="12"/>
        <color theme="1"/>
        <rFont val="Arial"/>
        <family val="2"/>
      </rPr>
      <t xml:space="preserve"> (se référer à la feuille 12 pour les résultats détaillés et le tableau récapitulatif de la feuille 1).</t>
    </r>
    <r>
      <rPr>
        <sz val="12"/>
        <color theme="1"/>
        <rFont val="Arial"/>
        <family val="2"/>
      </rPr>
      <t xml:space="preserve"> </t>
    </r>
    <r>
      <rPr>
        <sz val="12"/>
        <color theme="1"/>
        <rFont val="Arial"/>
        <family val="2"/>
      </rPr>
      <t xml:space="preserve">Ainsi, les utilisateurs ayant déjà </t>
    </r>
    <r>
      <rPr>
        <sz val="12"/>
        <color theme="1"/>
        <rFont val="Arial"/>
        <family val="2"/>
      </rPr>
      <t xml:space="preserve">réalisé </t>
    </r>
    <r>
      <rPr>
        <sz val="12"/>
        <color theme="1"/>
        <rFont val="Arial"/>
        <family val="2"/>
      </rPr>
      <t>une EVCa n'ont pas besoin d'effectuer une mesure complète de la résilience.</t>
    </r>
    <r>
      <rPr>
        <sz val="12"/>
        <color theme="1"/>
        <rFont val="Arial"/>
        <family val="2"/>
      </rPr>
      <t xml:space="preserve"> </t>
    </r>
    <r>
      <rPr>
        <b/>
        <i/>
        <sz val="12"/>
        <color theme="1"/>
        <rFont val="Arial"/>
        <family val="2"/>
      </rPr>
      <t>Troisièmement</t>
    </r>
    <r>
      <rPr>
        <sz val="12"/>
        <color theme="1"/>
        <rFont val="Arial"/>
        <family val="2"/>
      </rPr>
      <t>, ce fichier se situe dans le contexte du prochain tableau de bord de résilience, un site Internet en cours de développement.</t>
    </r>
    <r>
      <rPr>
        <sz val="12"/>
        <color theme="1"/>
        <rFont val="Arial"/>
        <family val="2"/>
      </rPr>
      <t xml:space="preserve"> </t>
    </r>
    <r>
      <rPr>
        <b/>
        <sz val="12"/>
        <color theme="1"/>
        <rFont val="Arial"/>
        <family val="2"/>
      </rPr>
      <t>L’ensemble des résultats saisis ici seront directement lisibles par le tableau de bord</t>
    </r>
    <r>
      <rPr>
        <sz val="12"/>
        <color theme="1"/>
        <rFont val="Arial"/>
        <family val="2"/>
      </rPr>
      <t>, et pourront être enregistrés sous votre compte utilisateur.</t>
    </r>
    <r>
      <rPr>
        <sz val="12"/>
        <color theme="1"/>
        <rFont val="Arial"/>
        <family val="2"/>
      </rPr>
      <t xml:space="preserve"> </t>
    </r>
    <r>
      <rPr>
        <sz val="12"/>
        <color theme="1"/>
        <rFont val="Arial"/>
        <family val="2"/>
      </rPr>
      <t>Vous pourrez réappliquer régulièrement la mesure de base, et de ce fait comparer les résultats EVCa « </t>
    </r>
    <r>
      <rPr>
        <b/>
        <sz val="12"/>
        <color theme="1"/>
        <rFont val="Arial"/>
        <family val="2"/>
      </rPr>
      <t>de base</t>
    </r>
    <r>
      <rPr>
        <sz val="12"/>
        <color theme="1"/>
        <rFont val="Arial"/>
        <family val="2"/>
      </rPr>
      <t xml:space="preserve"> » avec ceux de </t>
    </r>
    <r>
      <rPr>
        <b/>
        <sz val="12"/>
        <color theme="1"/>
        <rFont val="Arial"/>
        <family val="2"/>
      </rPr>
      <t>l'évaluation finale</t>
    </r>
    <r>
      <rPr>
        <sz val="12"/>
        <color theme="1"/>
        <rFont val="Arial"/>
        <family val="2"/>
      </rPr>
      <t> » si vous le souhaitez.</t>
    </r>
  </si>
  <si>
    <r>
      <rPr>
        <b/>
        <sz val="12"/>
        <color rgb="FFFF0000"/>
        <rFont val="Arial"/>
        <family val="2"/>
      </rPr>
      <t>Utilisez le guide EVCa pour une orientation générale.</t>
    </r>
    <r>
      <rPr>
        <b/>
        <sz val="12"/>
        <color rgb="FFFF0000"/>
        <rFont val="Arial"/>
        <family val="2"/>
      </rPr>
      <t xml:space="preserve"> </t>
    </r>
    <r>
      <rPr>
        <sz val="12"/>
        <color theme="1"/>
        <rFont val="Arial"/>
        <family val="2"/>
      </rPr>
      <t xml:space="preserve">                     </t>
    </r>
    <r>
      <rPr>
        <sz val="12"/>
        <color theme="1"/>
        <rFont val="Arial"/>
        <family val="2"/>
      </rPr>
      <t xml:space="preserve">Préparez ce modèle lorsque vous </t>
    </r>
    <r>
      <rPr>
        <sz val="12"/>
        <color theme="1"/>
        <rFont val="Arial"/>
        <family val="2"/>
      </rPr>
      <t xml:space="preserve">menez </t>
    </r>
    <r>
      <rPr>
        <sz val="12"/>
        <color theme="1"/>
        <rFont val="Arial"/>
        <family val="2"/>
      </rPr>
      <t>une EVCa.</t>
    </r>
    <r>
      <rPr>
        <sz val="12"/>
        <color theme="1"/>
        <rFont val="Arial"/>
        <family val="2"/>
      </rPr>
      <t xml:space="preserve"> </t>
    </r>
    <r>
      <rPr>
        <sz val="12"/>
        <color theme="1"/>
        <rFont val="Arial"/>
        <family val="2"/>
      </rPr>
      <t>Toutes les informations peuvent être saisies hors ligne - ultérieurement (lorsque le tableau de bord de résilience est en ligne), vous pouvez télécharger le fichier complété.</t>
    </r>
    <r>
      <rPr>
        <sz val="12"/>
        <color theme="1"/>
        <rFont val="Arial"/>
        <family val="2"/>
      </rPr>
      <t xml:space="preserve"> </t>
    </r>
    <r>
      <rPr>
        <b/>
        <sz val="12"/>
        <color theme="1"/>
        <rFont val="Arial"/>
        <family val="2"/>
      </rPr>
      <t>Notez que vous ne pouvez saisir que les cellules dotées d’un cadre rouge.</t>
    </r>
    <r>
      <rPr>
        <sz val="12"/>
        <color theme="1"/>
        <rFont val="Arial"/>
        <family val="2"/>
      </rPr>
      <t xml:space="preserve"> </t>
    </r>
    <r>
      <rPr>
        <sz val="12"/>
        <color theme="1"/>
        <rFont val="Arial"/>
        <family val="2"/>
      </rPr>
      <t>Dans la mesure où le fichier contient de nombreuses formules, il est protégé par</t>
    </r>
    <r>
      <rPr>
        <sz val="12"/>
        <color theme="1"/>
        <rFont val="Arial"/>
        <family val="2"/>
      </rPr>
      <t xml:space="preserve"> un</t>
    </r>
    <r>
      <rPr>
        <sz val="12"/>
        <color theme="1"/>
        <rFont val="Arial"/>
        <family val="2"/>
      </rPr>
      <t xml:space="preserve"> mot de passe - </t>
    </r>
    <r>
      <rPr>
        <sz val="12"/>
        <color theme="1"/>
        <rFont val="Arial"/>
        <family val="2"/>
      </rPr>
      <t xml:space="preserve">et ce </t>
    </r>
    <r>
      <rPr>
        <sz val="12"/>
        <color theme="1"/>
        <rFont val="Arial"/>
        <family val="2"/>
      </rPr>
      <t>afin d'éviter d'endommager accidentellement ces formules.</t>
    </r>
    <r>
      <rPr>
        <sz val="12"/>
        <color theme="1"/>
        <rFont val="Arial"/>
        <family val="2"/>
      </rPr>
      <t xml:space="preserve"> </t>
    </r>
    <r>
      <rPr>
        <sz val="12"/>
        <color theme="1"/>
        <rFont val="Arial"/>
        <family val="2"/>
      </rPr>
      <t>Si vous devez déverrouiller le fichier (par exemple pour traduire le texte), allez dans OUTILS --&gt; PROTECTION --&gt; ÔTER LA PROTECTION --&gt; SAISIR LE MOT DE PASSE : eVCA.</t>
    </r>
    <r>
      <rPr>
        <sz val="12"/>
        <color theme="1"/>
        <rFont val="Arial"/>
        <family val="2"/>
      </rPr>
      <t xml:space="preserve"> </t>
    </r>
    <r>
      <rPr>
        <sz val="12"/>
        <color theme="1"/>
        <rFont val="Arial"/>
        <family val="2"/>
      </rPr>
      <t>Veuillez ne pas modifier la structure (c'est-à-dire ajouter ou supprimer des cellules).</t>
    </r>
    <r>
      <rPr>
        <sz val="12"/>
        <color theme="1"/>
        <rFont val="Arial"/>
        <family val="2"/>
      </rPr>
      <t xml:space="preserve"> </t>
    </r>
    <r>
      <rPr>
        <b/>
        <sz val="12"/>
        <color theme="1"/>
        <rFont val="Arial"/>
        <family val="2"/>
      </rPr>
      <t>Veuillez également noter que certaines cellules contiennent des listes déroulantes</t>
    </r>
    <r>
      <rPr>
        <sz val="12"/>
        <color theme="1"/>
        <rFont val="Arial"/>
        <family val="2"/>
      </rPr>
      <t>, à partir desquelles vous pouvez effectuer une sélection.</t>
    </r>
    <r>
      <rPr>
        <sz val="12"/>
        <color theme="1"/>
        <rFont val="Arial"/>
        <family val="2"/>
      </rPr>
      <t xml:space="preserve"> </t>
    </r>
    <r>
      <rPr>
        <sz val="12"/>
        <color theme="1"/>
        <rFont val="Arial"/>
        <family val="2"/>
      </rPr>
      <t xml:space="preserve">Pour toute question, veuillez contacter Stéphanie Julmy à </t>
    </r>
    <r>
      <rPr>
        <sz val="12"/>
        <color theme="1"/>
        <rFont val="Arial"/>
        <family val="2"/>
      </rPr>
      <t xml:space="preserve">l'adresse </t>
    </r>
    <r>
      <rPr>
        <sz val="12"/>
        <color theme="1"/>
        <rFont val="Arial"/>
        <family val="2"/>
      </rPr>
      <t>stephanie.julmy@ifrc.org.</t>
    </r>
    <r>
      <rPr>
        <sz val="12"/>
        <color theme="1"/>
        <rFont val="Arial"/>
        <family val="2"/>
      </rPr>
      <t xml:space="preserve">  </t>
    </r>
  </si>
  <si>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</si>
  <si>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</si>
  <si>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</si>
  <si>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</si>
  <si>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</si>
  <si>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</si>
  <si>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</si>
  <si>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</si>
  <si>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</si>
  <si>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</si>
  <si>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</si>
  <si>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</si>
  <si>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</si>
  <si>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</si>
  <si>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</si>
  <si>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</si>
  <si>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</si>
  <si>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</si>
  <si>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</si>
  <si>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</si>
  <si>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</si>
  <si>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</si>
  <si>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</si>
  <si>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</si>
  <si>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</si>
  <si>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</si>
  <si>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</si>
  <si>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</si>
  <si>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</si>
  <si>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</si>
  <si>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</si>
  <si>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</si>
  <si>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</si>
  <si>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</si>
  <si>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</si>
  <si>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</si>
  <si>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</si>
  <si>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</si>
  <si>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</si>
  <si>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</si>
  <si>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</si>
  <si>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</si>
  <si>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</si>
  <si>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</si>
  <si>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</si>
  <si>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</si>
  <si>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</si>
  <si>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</si>
  <si>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</si>
  <si>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</si>
  <si>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</si>
  <si>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</si>
  <si>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</si>
  <si>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</si>
  <si>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</si>
  <si>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</si>
  <si>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</si>
  <si>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</si>
  <si>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</si>
  <si>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</si>
  <si>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</si>
  <si>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</si>
  <si>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</si>
  <si>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</si>
  <si>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</si>
  <si>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</si>
  <si>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</si>
  <si>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</si>
  <si>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</si>
  <si>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</si>
  <si>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</si>
  <si>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</si>
  <si>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</si>
  <si>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</si>
  <si>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</si>
  <si>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</si>
  <si>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</si>
  <si>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</si>
  <si>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</si>
  <si>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Cyclone</t>
  </si>
  <si>
    <t>Nom/type de danger</t>
  </si>
  <si>
    <t>Cause/origine :</t>
  </si>
  <si>
    <t>Signes précurseurs :</t>
  </si>
  <si>
    <t>Délai :</t>
  </si>
  <si>
    <t>Fréquence :</t>
  </si>
  <si>
    <t>Période d’occurrence :</t>
  </si>
  <si>
    <t>Durée :</t>
  </si>
  <si>
    <t xml:space="preserve">Epidémies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</si>
  <si>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</si>
  <si>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</si>
  <si>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</si>
  <si>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</si>
  <si>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</si>
  <si>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</si>
  <si>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</si>
  <si>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</si>
  <si>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</si>
  <si>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</si>
  <si>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</si>
  <si>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</si>
  <si>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</si>
  <si>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</si>
  <si>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</si>
  <si>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</si>
  <si>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</si>
  <si>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</si>
  <si>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</si>
  <si>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</si>
  <si>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</si>
  <si>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</si>
  <si>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</si>
  <si>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</si>
  <si>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</si>
  <si>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</si>
  <si>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</si>
  <si>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</si>
  <si>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</si>
  <si>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</si>
  <si>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</si>
  <si>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</si>
  <si>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</si>
  <si>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</si>
  <si>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</si>
  <si>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</si>
  <si>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</si>
  <si>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</si>
  <si>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</si>
  <si>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</si>
  <si>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</si>
  <si>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</si>
  <si>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</si>
  <si>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</si>
  <si>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</si>
  <si>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</si>
  <si>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</si>
  <si>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</si>
  <si>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</si>
  <si>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</si>
  <si>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</si>
  <si>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</si>
  <si>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</si>
  <si>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</si>
  <si>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</si>
  <si>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</si>
  <si>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</si>
  <si>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</si>
  <si>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</si>
  <si>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</si>
  <si>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</si>
  <si>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</si>
  <si>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</si>
  <si>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</si>
  <si>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</si>
  <si>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</si>
  <si>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</si>
  <si>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</si>
  <si>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</si>
  <si>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</si>
  <si>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</si>
  <si>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</si>
  <si>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</si>
  <si>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</si>
  <si>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</si>
  <si>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</si>
  <si>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</si>
  <si>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</si>
  <si>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</si>
  <si>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</si>
  <si>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</si>
  <si>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</si>
  <si>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</si>
  <si>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</si>
  <si>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</si>
  <si>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</si>
  <si>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</si>
  <si>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</si>
  <si>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</si>
  <si>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</si>
  <si>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</si>
  <si>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</si>
  <si>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</si>
  <si>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</si>
  <si>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</si>
  <si>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</si>
  <si>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</si>
  <si>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</si>
  <si>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</si>
  <si>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</si>
  <si>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</si>
  <si>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</si>
  <si>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</si>
  <si>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</si>
  <si>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</si>
  <si>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</si>
  <si>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Branche : Morondava</t>
  </si>
  <si>
    <t>Pays : Madagascar</t>
  </si>
  <si>
    <t>La cohesion sociale est une question dificile à poser, mais après discution entre les membres du fokontany, on sent de l'entraide en temps d'urgence dans le fokontany</t>
  </si>
  <si>
    <t>Province / État : Toliara</t>
  </si>
  <si>
    <t>Epidemie</t>
  </si>
  <si>
    <t>Chef Fokontany , AC</t>
  </si>
  <si>
    <t xml:space="preserve">Chef fokontany , Commite EVCA </t>
  </si>
  <si>
    <t>Toute l'année</t>
  </si>
  <si>
    <t>Position : Président de District</t>
  </si>
  <si>
    <t>Contact : 0348736810</t>
  </si>
  <si>
    <t>Non définie</t>
  </si>
  <si>
    <t xml:space="preserve">ça dépant </t>
  </si>
  <si>
    <t>Dégats matérieles ,dégats environnementaux et surtout dégats humains</t>
  </si>
  <si>
    <t>Croix-Rouge Malagasy/Branche Menabe</t>
  </si>
  <si>
    <t>BNGRC</t>
  </si>
  <si>
    <t xml:space="preserve">Changement climatique,  perturbation ou dépression tropicale ,catastrophe naturelle </t>
  </si>
  <si>
    <t>Il y avait des représentants des femmes, des représentants des jeunes , des sociétés civiles. Ces derniers nous ont expliqué qu'il n'y avait pas de vulnérabilité particulière pour ces groupes car toute la communauté est affectée et se débrouille eux meme .</t>
  </si>
  <si>
    <t>Les personnes à faibles revenus ont moins de moyens pour se protéger, se préparer ou se rétablir face à une crise (accès limité à des logements solides, aux soins médicaux ou à des assurances).</t>
  </si>
  <si>
    <t>Les familles dépendant d’une seule ressource (comme l’agriculture ou la pêche) sont plus vulnérables aux perturbations causées par les catastrophes naturelles ou économiques. Une dépendance excessive à des activités affectées par les événements climatiques (comme l’agriculture de subsistance) accroît la vulnérabilité.</t>
  </si>
  <si>
    <t>Des facteurs liés à des aspects sociaux</t>
  </si>
  <si>
    <r>
      <t xml:space="preserve">Aspects de vulnérabilité avec leurs causes </t>
    </r>
    <r>
      <rPr>
        <sz val="10"/>
        <color theme="0"/>
        <rFont val="Arial"/>
        <family val="2"/>
      </rPr>
      <t xml:space="preserve">
(la raison pour laquelle l'impact se produit et les causes profondes)</t>
    </r>
  </si>
  <si>
    <t>&gt; Apparition de crises alimentaires locales dues à une perturbation de la production, de la distribution ou de l'accès à la nourriture.Malnutrition , manque d'apetit</t>
  </si>
  <si>
    <t>Pour réduire l'impact des dangers, il est crucial de mobiliser et d'exploiter les forces disponibles à différents niveaux (communautaire, économique et environnemental). Comme réboisement des jeunes plantes , elles sont des vastes terrains pour le réboisement . Leurs possession du Fleuve de DABARA peuvent changer beaucoup de chose , comme pour lutter contre la sécheresse , la restauration des fertilité de terre cultivable</t>
  </si>
  <si>
    <t>Des facteurs économiques : Dépendance à une économie fragile :</t>
  </si>
  <si>
    <t>Peche et collecte des produits locaux</t>
  </si>
  <si>
    <t>Non défini</t>
  </si>
  <si>
    <t>&gt; Aggravation des impacts humanitaires, y compris la pénuries alimentaires, les déplacements de populations, et une détérioration des conditions de vie.
&gt; Augmentation des dégats materiaux et des biens</t>
  </si>
  <si>
    <t xml:space="preserve">&gt; effondrement partiel ou total des structures, nécessité de réparations coûteuses.
</t>
  </si>
  <si>
    <t>&gt; Destruction des maisons 
&gt; décoifé des toitures , déracinée des arbres, prévention des sans abris</t>
  </si>
  <si>
    <t>&gt;Transmission rapide des maladies infectieuses, en particulier dans les logements partagés et Sales</t>
  </si>
  <si>
    <t xml:space="preserve">&gt; Diminution des revenus </t>
  </si>
  <si>
    <t>Préparation précoce , Formation des Equipe Local des Sécours (ELS), Téchniciens specialistes en environnement  , collaboration avec les organismes environnemental et GRC locaux  comme : MNP , WWF , DREDD , BNGRC etc</t>
  </si>
  <si>
    <t>Mars - Novembre</t>
  </si>
  <si>
    <t>Dimunition des risques , des dégats materiels, humaines et environnemental , préparation nutritionnelle et financieres,avoir un peu de tranquilité pendant l'urgence</t>
  </si>
  <si>
    <t>Dimunition des risques , des dégats materiels, humaines et environnemental , préparation nutritionnelle et financieres,avoir un peu de tranquilité avoir un peu de tranquilité pendant l'urgence</t>
  </si>
  <si>
    <t>perte Humaine, aggravisation des maladie</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</si>
  <si>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Regional
-        Représentant des personnes âgées
-        Représentant des Jeunes
-        Représentant des Femmes 
-        Représentant des commerçants 
-        Représentant du secteur éducation
-        Représentant du pecheur 
-        Agent communautaire
Durant le processus, les autorités locales (Préfecture, Commune, Arrondissement) ainsi que le BNGRC, le MEN ainsi que les gouvernences locales ont été  toujours impliqués. 
</t>
  </si>
  <si>
    <t>Dans le cadre du projet Programme local de Préparation et de Résilience aux aléas Multiples (PPRM) financé par la FCDO mis en oeuvre par la Croix-Rouge Malagasy , des activités de préparation et anticipation ont identifiés comme besoin crucial pour préparer cette saison cyclonique 2025– 2026. Ainsi, la région Menabe a été identifiée comme zone favorable pour mener une Evaluation des Vulnérabilités et Capacités améliorée (EVCA). Un atelier EVCA est ainsi organisé dans 01 fokontany de la ville de Morondava  et 05 fokontany pour la commune de Belo sur mer.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par Fokontany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(President etVice president Fokontany) en tant qu’observateurs
- Représentant de la CRM Districal 
- Représentant des personnes âgées
- Représentant des Jeunes
- Représentant des Femmes 
- Représentant de la société civile
- Représentant du secteur éducation
- Représentant des commerçants
- Représentant des éleveurs
- Représentant des cultivateurs et pecheurs
- Agent communautaire</t>
  </si>
  <si>
    <t>SECHERESSE</t>
  </si>
  <si>
    <t xml:space="preserve">Fokontany situé en zone enclavé de la ville </t>
  </si>
  <si>
    <t>non défini</t>
  </si>
  <si>
    <t xml:space="preserve">&gt; Insufisance alimentaire ; Malnutrition , 
</t>
  </si>
  <si>
    <t xml:space="preserve">&gt;Baisse des revenus maritimes, pénuries alimentaires locales </t>
  </si>
  <si>
    <t>La population ont du mal a etre bien informé en raison de l'inéxistance des ELS biens equipés et des outils SAP; ceci les rend toujours vulnérables et sans préparation à la résilience</t>
  </si>
  <si>
    <t>&gt;Propagation des maladies; le retard de la prise en charge des personnes infectés par la maladie peut causé de la perte de vie</t>
  </si>
  <si>
    <t xml:space="preserve"> &gt; Manque d'accés à l'eau potable et cumulation des déchets</t>
  </si>
  <si>
    <t>&gt; Insufisance alimentaire ; Malnutrition , 
&gt;accentuant les impacts sociaux et économiques.Baisse de l'offre alimentaire, pénuries de produits de baseet dépendance accrue aux importations.</t>
  </si>
  <si>
    <t>&gt; Intérruption des activités de substance</t>
  </si>
  <si>
    <t xml:space="preserve">&gt;Baisse des revenus, pénuries alimentaires </t>
  </si>
  <si>
    <t>la manque des toilettes publiques accumule la propagation des dechets et des maladies</t>
  </si>
  <si>
    <t xml:space="preserve">
&gt; Pompe 
&gt; la communauté a accès à l'eau potable </t>
  </si>
  <si>
    <t>borne fontaine</t>
  </si>
  <si>
    <t>Le cyclone est une catastrophe progressive qui touche la communauté.
Les vulnérabilités multiples (sociales, économiques, environnementales) se combinent pour aggraver ses impacts.
Une gestion proactive, comprenant des systèmes d’alerte, des politiques durables et des infrastructures adaptées, est essentielle pour réduire ces vulnérabilités.
En somme, il est crucial de renforcer la résilience des communautés face à la sécheresse en intégrant des approches multisectorielles et inclusives dans la gestion des risques de catastrophes.</t>
  </si>
  <si>
    <t>Chef Fokontany , Comite EVCA, directeur d'école</t>
  </si>
  <si>
    <t>soutien financier et technique</t>
  </si>
  <si>
    <t xml:space="preserve">réduction de taux des malades ,des mortalités due à l'épidemie </t>
  </si>
  <si>
    <t>materiaux de construction et des ouvriers, pépinières, collaboration avec les organismes environnemental ET TéLECOMMUNICATION comme : MNP , WWF , DREDD , YAS, ORAGE, AIRTEL etc</t>
  </si>
  <si>
    <t>collaboration avec les organismes de la santé publique: DRS, ONN, Commerce</t>
  </si>
  <si>
    <t>Appui technique</t>
  </si>
  <si>
    <t>Sensibilisations , formations, appui technique et financier</t>
  </si>
  <si>
    <t>FKT 09/12 Manometinay</t>
  </si>
  <si>
    <t>Quartiers : Fkt 09/12 Manometinay</t>
  </si>
  <si>
    <t>Date de début de l’EVCa : 09/06/2025</t>
  </si>
  <si>
    <t>Date de fin de l’EVCa : 13/06/2025</t>
  </si>
  <si>
    <t>Sécheresse</t>
  </si>
  <si>
    <t>Innondation</t>
  </si>
  <si>
    <t>Sècheresse</t>
  </si>
  <si>
    <t>insuffisance de la pluie</t>
  </si>
  <si>
    <t>La montée des "Gagalato" sur le rivage sèche, les Railovy pondent ses œufs sur le sol mais plus sur l'arbre</t>
  </si>
  <si>
    <t>très fort</t>
  </si>
  <si>
    <t>Octobre - Décembre</t>
  </si>
  <si>
    <t>2 mois</t>
  </si>
  <si>
    <t>Les "Folakobo" remontent sur la terre sèche, Pluie intense</t>
  </si>
  <si>
    <t>Moyenne</t>
  </si>
  <si>
    <t xml:space="preserve">Janvier - fevrier </t>
  </si>
  <si>
    <t>1 Jours</t>
  </si>
  <si>
    <t>Pollution de l'eau, invasion des moustiques, saleté, augmentation de la temperature, eau staignante, contamination des aliments</t>
  </si>
  <si>
    <t xml:space="preserve">refroidissement, maux de tete, vomissement, apparition bes boutons, augmentation de temperature, mal digestion, </t>
  </si>
  <si>
    <t>Janvier au Novembre</t>
  </si>
  <si>
    <t xml:space="preserve">Les dangers identifiés comme prioritaires sont les suivants : Sècheresse ; Innondation ; épidémie . 
Les aléas ont été identifiés grace aux outils : profil historique, calendrier saisonnier, matrice des risques, cartographie, marche transversale
</t>
  </si>
  <si>
    <t>manque de sensibilisation, ne pas suivre les consignes du leader</t>
  </si>
  <si>
    <t>Auto-médecine, manque de médecin</t>
  </si>
  <si>
    <t>cumulation des déchets, pollution d'eau potable</t>
  </si>
  <si>
    <t>saleté et étroite de logement</t>
  </si>
  <si>
    <t xml:space="preserve">&gt;intolérance alimentaire et sale
</t>
  </si>
  <si>
    <t>la manque de pompe  rend vulnérable au population en cas d'épidemie</t>
  </si>
  <si>
    <t>le non respect et gestion de l'environnement</t>
  </si>
  <si>
    <t>Disponibilité des moyens de communication et téléphonique, Paiby</t>
  </si>
  <si>
    <t>Agents communautaires , Médecin
CSB</t>
  </si>
  <si>
    <t>Pompe et source d'eau</t>
  </si>
  <si>
    <t>CSB, Pompe</t>
  </si>
  <si>
    <t>plantes médicinales, Mangrove</t>
  </si>
  <si>
    <t>Pollution et cumulation des déchets</t>
  </si>
  <si>
    <t>La fragilité de la structure des logements rend sa destruction rapide face au danger</t>
  </si>
  <si>
    <t xml:space="preserve">&gt;intolérance alimentaire 
</t>
  </si>
  <si>
    <t>information médiatique, paiby</t>
  </si>
  <si>
    <t>disponibilité de cultivé</t>
  </si>
  <si>
    <t>Manque d'équipement des AC, les gens ne resiste pas les maladies pendant la sècheresse</t>
  </si>
  <si>
    <t>eau sèche et insuffisante</t>
  </si>
  <si>
    <t>Manque d'approvisionnement alimentaire et des stocks</t>
  </si>
  <si>
    <t>difficulté de cultivé; baisse de revenu</t>
  </si>
  <si>
    <t>la forêt  sont vulnérable face au danger</t>
  </si>
  <si>
    <t xml:space="preserve">
AC, médecin</t>
  </si>
  <si>
    <t>Pratique de culture capable de résisté la sècheresse</t>
  </si>
  <si>
    <t>cultures résistantes à la sécheresse</t>
  </si>
  <si>
    <t>possession mer</t>
  </si>
  <si>
    <t>L'inclusion n'est pas respecté dans la communauté en temps d'urgence et en temps normal</t>
  </si>
  <si>
    <t xml:space="preserve">Les gens ne s'entraident pas dans la communauté en temps d'urgence et en temps normal, </t>
  </si>
  <si>
    <t>Formation en agriculture adapté à la sècheresse, approvisionnement de médicament au AC, graine; sensibilisation de reboisement, approvisionement d'eau potable dans les campements</t>
  </si>
  <si>
    <t>Approvisionnement de médicament, traitement d'eau, formation des AC, Sensibilisation alimentaire</t>
  </si>
  <si>
    <t>constitution d'une équipe local de secour et approsionnement de leur Equipement et outils d'alerte; equipement des AC et agriculture, formation environnementale</t>
  </si>
  <si>
    <t>constitution d'une équipe local de secour et approsionnement de leur Equipement et outils d'alerte; equipement des AC et agriculture et peche, approsionnement des pépinières</t>
  </si>
  <si>
    <t>Mars - Avril</t>
  </si>
  <si>
    <t xml:space="preserve">Auto-médecine, manque de médecin dans la communauté le rend vulnérable et entrainant la propagation de l'épidémie causé par la pollution </t>
  </si>
  <si>
    <t>Agents communautaires ,Médecin, CSB</t>
  </si>
  <si>
    <t>Information médiatique</t>
  </si>
  <si>
    <t>5 jours</t>
  </si>
  <si>
    <t>Fort</t>
  </si>
  <si>
    <t>Janvier - Mars</t>
  </si>
  <si>
    <t>souvent touché par l'Innondation, Sècheresse, l'épidemie ainsi que la cyclone</t>
  </si>
  <si>
    <r>
      <t xml:space="preserve">La région Menabe est l'une des vingt-trois régions de Madagascar. Elle est située dans la province de Toliara, dans la côte-ouest de l'île.Morondava, chef-lieu de la région Menabe et concentre 6,6% de sa population urbaine. Elle se situe dans la région Menabe, sur la côte ouest du pays, au débouché de l'ocean indien, axe majeur de transport de marchandises, à environ 697 kilomètres d’Antananarivo via la route nationale 7 et 35. Morondava est composée 4 commune rural et de 18 fokontany et rassemble 22% de la population de la région menabe, avec 178 966 habitants pour une superficie de 28km22, soit une densité moyenne de 10 534 habitants/km2. Principal port du pays et parmi les plus importants de l’océan Indien,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deux centres de santé de base et un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Manometinay 07/12  (6 campements et 12 secteurs) est composé de la sorte</t>
    </r>
    <r>
      <rPr>
        <sz val="10"/>
        <color theme="1"/>
        <rFont val="Arial"/>
        <family val="2"/>
      </rPr>
      <t xml:space="preserve">
Secteur 1 : population de  habitants ( hommes et  femmes) répartis en  ménages avec une moyenne de  personnes par ménage 
Secteur 2 : population de  habitants ( hommes et  femmes) répartis en  ménages avec une moyenne de  personnes par ménage 
Le fokontany 08/12 Manometinay regroupe ainsi 10303 habitants dont  hommes et  femmes 
Les principaux risques auxquels fait face la communauté sont les suivants : sécheresse , Cyclone, Innondation et épidemie avec le défécation à l'air libre et la mauvaise gestion des déchets ce qui génère des maladies. Le fokontany a été touché par le Choléra depuis l'année 2000 et la sècheresse pendant 6 ans (2016 - 2022)
</t>
    </r>
  </si>
  <si>
    <t>l'aggravité de maladie et l'épidemie pourra propager</t>
  </si>
  <si>
    <t>la population ne consomme pas d'eau régulièrement et s'affaibli</t>
  </si>
  <si>
    <t xml:space="preserve"> la sècheresse causent des dégâts à la forêt du à m'augmentation de la chaleur et la manque d'eau</t>
  </si>
  <si>
    <t>pollution et cumulation des déchets</t>
  </si>
  <si>
    <t xml:space="preserve"> &gt; Manque d'accés à l'eau potable </t>
  </si>
  <si>
    <t xml:space="preserve">&gt;intolérance alimentaire du à la saleté d'eau
</t>
  </si>
  <si>
    <t xml:space="preserve">l'intolérance alimentaire peut causer de l'Insufisance alimentaire ; Malnutrition , 
</t>
  </si>
  <si>
    <t xml:space="preserve">Ce vulnérabilité a pour impact la Baisse des revenus, les pénuries alimentaires </t>
  </si>
  <si>
    <t>indisponibilité de transport et interruption de l'activité routière</t>
  </si>
  <si>
    <t xml:space="preserve">la forêt sont vulnérable en vue la forte pression du danger; </t>
  </si>
  <si>
    <t xml:space="preserve"> les arbres sont déracinés et pourra causer de la perte de vie des animaux</t>
  </si>
  <si>
    <t>la propagation de la maladie et retard du prise en charge du malade qui pourra causer sa mortalité</t>
  </si>
  <si>
    <t>&gt; consomation d'eau non potable 
&gt; Propagation rapide de l'épidémie dans les communautés</t>
  </si>
  <si>
    <t>Absorbation d'air pollué</t>
  </si>
  <si>
    <t>pollution et cumulation des déchets, indiponibilité de l'approvisionnement des médicaments</t>
  </si>
  <si>
    <t xml:space="preserve">l'isolement de la communauté et la survi de la population ne compte qu'à soi meme
</t>
  </si>
  <si>
    <t>Indisponibilité de connectivité avec l'exterieur</t>
  </si>
  <si>
    <t>la population ne consomme pas d'eau irrégulièrement et s'affaibli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</si>
</sst>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sz val="10"/>
      <color rgb="FFFF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b/>
      <i/>
      <sz val="12"/>
      <color theme="1"/>
      <name val="Arial"/>
      <family val="2"/>
    </font>
    <font>
      <b/>
      <sz val="12"/>
      <color rgb="FFFF0000"/>
      <name val="Arial"/>
      <family val="2"/>
    </font>
    <font>
      <sz val="8"/>
      <color theme="0"/>
      <name val="Arial"/>
      <family val="2"/>
    </font>
    <font>
      <sz val="10"/>
      <color rgb="FFFFFFFF"/>
      <name val="Arial"/>
      <family val="2"/>
    </font>
    <font>
      <sz val="10"/>
      <name val="Arial"/>
      <family val="2"/>
    </font>
    <font>
      <sz val="12"/>
      <color theme="1"/>
      <name val="Calibri"/>
      <family val="2"/>
      <scheme val="minor"/>
    </font>
  </fonts>
  <fills count="19">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D6DCE4"/>
        <bgColor rgb="FFD6DCE4"/>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rgb="FFC00000"/>
      </bottom>
      <diagonal/>
    </border>
    <border>
      <left style="thin">
        <color indexed="64"/>
      </left>
      <right/>
      <top style="medium">
        <color rgb="FFC00000"/>
      </top>
      <bottom style="medium">
        <color rgb="FFC00000"/>
      </bottom>
      <diagonal/>
    </border>
    <border>
      <left style="medium">
        <color rgb="FFFF0000"/>
      </left>
      <right style="thin">
        <color indexed="64"/>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thin">
        <color indexed="64"/>
      </left>
      <right style="medium">
        <color rgb="FFFF0000"/>
      </right>
      <top style="medium">
        <color rgb="FFFF0000"/>
      </top>
      <bottom style="medium">
        <color rgb="FFFF0000"/>
      </bottom>
      <diagonal/>
    </border>
  </borders>
  <cellStyleXfs count="2">
    <xf numFmtId="0" fontId="0" fillId="0" borderId="0"/>
    <xf numFmtId="0" fontId="41" fillId="0" borderId="48"/>
  </cellStyleXfs>
  <cellXfs count="399">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7" borderId="4" xfId="0" applyFont="1" applyFill="1" applyBorder="1" applyAlignment="1">
      <alignment vertical="top" wrapText="1"/>
    </xf>
    <xf numFmtId="0" fontId="3" fillId="7" borderId="4" xfId="0" applyFont="1" applyFill="1" applyBorder="1"/>
    <xf numFmtId="0" fontId="8" fillId="8" borderId="13" xfId="0" applyFont="1" applyFill="1" applyBorder="1" applyAlignment="1">
      <alignment vertical="center"/>
    </xf>
    <xf numFmtId="0" fontId="3" fillId="8" borderId="13" xfId="0" applyFont="1" applyFill="1" applyBorder="1" applyAlignment="1">
      <alignment vertical="center"/>
    </xf>
    <xf numFmtId="0" fontId="9" fillId="7" borderId="4" xfId="0" applyFont="1" applyFill="1" applyBorder="1" applyAlignment="1">
      <alignment horizontal="right" vertical="center"/>
    </xf>
    <xf numFmtId="0" fontId="9" fillId="8" borderId="13" xfId="0" applyFont="1" applyFill="1" applyBorder="1" applyAlignment="1">
      <alignment vertical="center"/>
    </xf>
    <xf numFmtId="0" fontId="9" fillId="7"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10" borderId="4" xfId="0" applyFont="1" applyFill="1" applyBorder="1" applyAlignment="1">
      <alignment vertical="center"/>
    </xf>
    <xf numFmtId="0" fontId="14" fillId="6" borderId="30" xfId="0" applyFont="1" applyFill="1" applyBorder="1"/>
    <xf numFmtId="2" fontId="3" fillId="7" borderId="33" xfId="0" applyNumberFormat="1" applyFont="1" applyFill="1" applyBorder="1"/>
    <xf numFmtId="2" fontId="3" fillId="11" borderId="33" xfId="0" applyNumberFormat="1" applyFont="1" applyFill="1" applyBorder="1"/>
    <xf numFmtId="2" fontId="3" fillId="7"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7" borderId="40" xfId="0" applyFont="1" applyFill="1" applyBorder="1" applyAlignment="1">
      <alignment horizontal="center" vertical="center"/>
    </xf>
    <xf numFmtId="0" fontId="9" fillId="11"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1"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5" borderId="40" xfId="0" applyFont="1" applyFill="1" applyBorder="1" applyAlignment="1">
      <alignment vertical="top" wrapText="1"/>
    </xf>
    <xf numFmtId="0" fontId="3" fillId="0" borderId="25" xfId="0" applyFont="1" applyBorder="1"/>
    <xf numFmtId="3" fontId="3" fillId="7" borderId="13" xfId="0" applyNumberFormat="1" applyFont="1" applyFill="1" applyBorder="1" applyAlignment="1">
      <alignment vertical="center" wrapText="1"/>
    </xf>
    <xf numFmtId="3" fontId="3" fillId="7" borderId="13" xfId="0" applyNumberFormat="1" applyFont="1" applyFill="1" applyBorder="1" applyAlignment="1">
      <alignment vertical="center"/>
    </xf>
    <xf numFmtId="3" fontId="9" fillId="11"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1" borderId="40" xfId="0" applyFont="1" applyFill="1" applyBorder="1" applyAlignment="1">
      <alignment vertical="top" wrapText="1"/>
    </xf>
    <xf numFmtId="164" fontId="15" fillId="7" borderId="40" xfId="0" applyNumberFormat="1" applyFont="1" applyFill="1" applyBorder="1" applyAlignment="1">
      <alignment vertical="center" wrapText="1"/>
    </xf>
    <xf numFmtId="164" fontId="15" fillId="7" borderId="40" xfId="0" applyNumberFormat="1" applyFont="1" applyFill="1" applyBorder="1" applyAlignment="1">
      <alignment vertical="center"/>
    </xf>
    <xf numFmtId="164" fontId="16" fillId="11"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5"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7" borderId="45" xfId="0" applyNumberFormat="1" applyFont="1" applyFill="1" applyBorder="1" applyAlignment="1">
      <alignment vertical="center" wrapText="1"/>
    </xf>
    <xf numFmtId="164" fontId="9" fillId="11"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9" borderId="4" xfId="0" applyFont="1" applyFill="1" applyBorder="1" applyAlignment="1">
      <alignment horizontal="left" vertical="top" wrapText="1"/>
    </xf>
    <xf numFmtId="0" fontId="3" fillId="0" borderId="0" xfId="0" applyFont="1" applyAlignment="1">
      <alignment horizontal="center" vertical="center" wrapText="1"/>
    </xf>
    <xf numFmtId="0" fontId="10" fillId="5"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10" borderId="49" xfId="0" applyFont="1" applyFill="1" applyBorder="1" applyAlignment="1">
      <alignment vertical="center"/>
    </xf>
    <xf numFmtId="0" fontId="10" fillId="10" borderId="49" xfId="0" applyFont="1" applyFill="1" applyBorder="1" applyAlignment="1">
      <alignment vertical="center"/>
    </xf>
    <xf numFmtId="0" fontId="10" fillId="2" borderId="49" xfId="0" applyFont="1" applyFill="1" applyBorder="1" applyAlignment="1">
      <alignment vertical="center"/>
    </xf>
    <xf numFmtId="0" fontId="3" fillId="10" borderId="4" xfId="0" applyFont="1" applyFill="1" applyBorder="1"/>
    <xf numFmtId="0" fontId="9" fillId="11" borderId="40" xfId="0" applyFont="1" applyFill="1" applyBorder="1" applyAlignment="1">
      <alignment vertical="center"/>
    </xf>
    <xf numFmtId="0" fontId="9" fillId="2" borderId="4" xfId="0" applyFont="1" applyFill="1" applyBorder="1" applyAlignment="1">
      <alignment vertical="center"/>
    </xf>
    <xf numFmtId="0" fontId="9" fillId="10" borderId="4" xfId="0" applyFont="1" applyFill="1" applyBorder="1" applyAlignment="1">
      <alignment vertical="center"/>
    </xf>
    <xf numFmtId="0" fontId="22" fillId="12" borderId="49" xfId="0" applyFont="1" applyFill="1" applyBorder="1" applyAlignment="1">
      <alignment vertical="center"/>
    </xf>
    <xf numFmtId="0" fontId="10" fillId="12" borderId="49" xfId="0" applyFont="1" applyFill="1" applyBorder="1" applyAlignment="1">
      <alignment vertical="center"/>
    </xf>
    <xf numFmtId="0" fontId="3" fillId="12" borderId="4" xfId="0" applyFont="1" applyFill="1" applyBorder="1"/>
    <xf numFmtId="0" fontId="9" fillId="12"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7" borderId="13" xfId="0" applyFont="1" applyFill="1" applyBorder="1" applyAlignment="1">
      <alignment horizontal="center" vertical="center"/>
    </xf>
    <xf numFmtId="0" fontId="3" fillId="5" borderId="4" xfId="0" applyFont="1" applyFill="1" applyBorder="1" applyAlignment="1">
      <alignment horizontal="center"/>
    </xf>
    <xf numFmtId="0" fontId="3" fillId="7" borderId="4" xfId="0" applyFont="1" applyFill="1" applyBorder="1" applyAlignment="1">
      <alignment horizontal="left" vertical="top"/>
    </xf>
    <xf numFmtId="0" fontId="3" fillId="6" borderId="4" xfId="0" applyFont="1" applyFill="1" applyBorder="1"/>
    <xf numFmtId="0" fontId="9" fillId="7" borderId="40" xfId="0" applyFont="1" applyFill="1" applyBorder="1" applyAlignment="1">
      <alignment vertical="center"/>
    </xf>
    <xf numFmtId="0" fontId="9" fillId="6" borderId="4" xfId="0" applyFont="1" applyFill="1" applyBorder="1" applyAlignment="1">
      <alignment vertical="center"/>
    </xf>
    <xf numFmtId="0" fontId="26" fillId="10" borderId="4" xfId="0" applyFont="1" applyFill="1" applyBorder="1" applyAlignment="1">
      <alignment vertical="center"/>
    </xf>
    <xf numFmtId="0" fontId="21" fillId="10" borderId="4" xfId="0" applyFont="1" applyFill="1" applyBorder="1" applyAlignment="1">
      <alignment vertical="center"/>
    </xf>
    <xf numFmtId="0" fontId="27" fillId="10" borderId="4" xfId="0" applyFont="1" applyFill="1" applyBorder="1" applyAlignment="1">
      <alignment vertical="center"/>
    </xf>
    <xf numFmtId="0" fontId="10" fillId="14" borderId="40" xfId="0" applyFont="1" applyFill="1" applyBorder="1" applyAlignment="1">
      <alignment vertical="top" wrapText="1"/>
    </xf>
    <xf numFmtId="0" fontId="3" fillId="0" borderId="26" xfId="0" applyFont="1" applyBorder="1"/>
    <xf numFmtId="2" fontId="9" fillId="7" borderId="43" xfId="0" applyNumberFormat="1" applyFont="1" applyFill="1" applyBorder="1" applyAlignment="1">
      <alignment horizontal="center" vertical="center"/>
    </xf>
    <xf numFmtId="0" fontId="4" fillId="2" borderId="4" xfId="0" applyFont="1" applyFill="1" applyBorder="1" applyAlignment="1">
      <alignment vertical="center"/>
    </xf>
    <xf numFmtId="0" fontId="26" fillId="2" borderId="4" xfId="0" applyFont="1" applyFill="1" applyBorder="1" applyAlignment="1">
      <alignment vertical="center"/>
    </xf>
    <xf numFmtId="0" fontId="21" fillId="2" borderId="4" xfId="0" applyFont="1" applyFill="1" applyBorder="1" applyAlignment="1">
      <alignment vertical="center"/>
    </xf>
    <xf numFmtId="0" fontId="27" fillId="2" borderId="4" xfId="0" applyFont="1" applyFill="1" applyBorder="1" applyAlignment="1">
      <alignment vertical="center"/>
    </xf>
    <xf numFmtId="0" fontId="4" fillId="12" borderId="4" xfId="0" applyFont="1" applyFill="1" applyBorder="1" applyAlignment="1">
      <alignment vertical="center"/>
    </xf>
    <xf numFmtId="0" fontId="21" fillId="12" borderId="4" xfId="0" applyFont="1" applyFill="1" applyBorder="1" applyAlignment="1">
      <alignment vertical="center"/>
    </xf>
    <xf numFmtId="0" fontId="27" fillId="12" borderId="4" xfId="0" applyFont="1" applyFill="1" applyBorder="1" applyAlignment="1">
      <alignment vertical="center"/>
    </xf>
    <xf numFmtId="2" fontId="3" fillId="0" borderId="0" xfId="0" applyNumberFormat="1" applyFont="1"/>
    <xf numFmtId="0" fontId="3" fillId="0" borderId="0" xfId="0" quotePrefix="1" applyFont="1"/>
    <xf numFmtId="0" fontId="26" fillId="12" borderId="4" xfId="0" applyFont="1" applyFill="1" applyBorder="1" applyAlignment="1">
      <alignment vertical="center"/>
    </xf>
    <xf numFmtId="0" fontId="9" fillId="11" borderId="56" xfId="0" applyFont="1" applyFill="1" applyBorder="1" applyAlignment="1">
      <alignment vertical="center" wrapText="1"/>
    </xf>
    <xf numFmtId="0" fontId="28" fillId="7" borderId="57" xfId="0" applyFont="1" applyFill="1" applyBorder="1" applyAlignment="1">
      <alignment horizontal="left" vertical="center" wrapText="1"/>
    </xf>
    <xf numFmtId="0" fontId="28" fillId="7" borderId="58" xfId="0" applyFont="1" applyFill="1" applyBorder="1" applyAlignment="1">
      <alignment horizontal="left" vertical="center" wrapText="1"/>
    </xf>
    <xf numFmtId="0" fontId="28" fillId="7" borderId="43" xfId="0" applyFont="1" applyFill="1" applyBorder="1" applyAlignment="1">
      <alignment horizontal="left" vertical="center" wrapText="1"/>
    </xf>
    <xf numFmtId="0" fontId="9" fillId="7" borderId="56" xfId="0" applyFont="1" applyFill="1" applyBorder="1" applyAlignment="1">
      <alignment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8"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4" borderId="40" xfId="0" applyNumberFormat="1" applyFont="1" applyFill="1" applyBorder="1" applyAlignment="1">
      <alignment horizontal="center" vertical="center" wrapText="1"/>
    </xf>
    <xf numFmtId="0" fontId="28" fillId="11" borderId="40" xfId="0" applyFont="1" applyFill="1" applyBorder="1" applyAlignment="1">
      <alignment horizontal="left" vertical="center" wrapText="1"/>
    </xf>
    <xf numFmtId="2" fontId="9" fillId="6" borderId="40" xfId="0" applyNumberFormat="1" applyFont="1" applyFill="1" applyBorder="1" applyAlignment="1">
      <alignment horizontal="center" vertical="center" wrapText="1"/>
    </xf>
    <xf numFmtId="0" fontId="9" fillId="0" borderId="40" xfId="0" applyFont="1" applyBorder="1"/>
    <xf numFmtId="0" fontId="3" fillId="15" borderId="60" xfId="0" applyFont="1" applyFill="1" applyBorder="1"/>
    <xf numFmtId="0" fontId="3" fillId="16" borderId="60" xfId="0" applyFont="1" applyFill="1" applyBorder="1"/>
    <xf numFmtId="0" fontId="3" fillId="0" borderId="40" xfId="0" applyFont="1" applyBorder="1" applyAlignment="1">
      <alignment horizontal="center"/>
    </xf>
    <xf numFmtId="0" fontId="3" fillId="17"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3" fillId="0" borderId="0" xfId="0" applyFont="1"/>
    <xf numFmtId="0" fontId="1" fillId="2" borderId="4" xfId="0" applyFont="1" applyFill="1" applyBorder="1" applyAlignment="1">
      <alignment vertical="center"/>
    </xf>
    <xf numFmtId="0" fontId="10" fillId="5"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4" borderId="66" xfId="0" applyFont="1" applyFill="1" applyBorder="1" applyAlignment="1">
      <alignment vertical="top" wrapText="1"/>
    </xf>
    <xf numFmtId="0" fontId="22" fillId="18" borderId="66" xfId="0" applyFont="1" applyFill="1" applyBorder="1" applyAlignment="1">
      <alignment vertical="top" wrapText="1"/>
    </xf>
    <xf numFmtId="0" fontId="11" fillId="11" borderId="70" xfId="0" applyFont="1" applyFill="1" applyBorder="1" applyAlignment="1">
      <alignment vertical="center" wrapText="1"/>
    </xf>
    <xf numFmtId="0" fontId="3" fillId="0" borderId="26" xfId="0" applyFont="1" applyBorder="1" applyAlignment="1">
      <alignment wrapText="1"/>
    </xf>
    <xf numFmtId="0" fontId="3" fillId="11" borderId="70" xfId="0" applyFont="1" applyFill="1" applyBorder="1" applyAlignment="1">
      <alignment wrapText="1"/>
    </xf>
    <xf numFmtId="0" fontId="9" fillId="11"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1" borderId="70" xfId="0" applyNumberFormat="1" applyFont="1" applyFill="1" applyBorder="1" applyAlignment="1">
      <alignment horizontal="center" vertical="center"/>
    </xf>
    <xf numFmtId="0" fontId="3" fillId="7" borderId="70" xfId="0" applyFont="1" applyFill="1" applyBorder="1" applyAlignment="1">
      <alignment vertical="center" wrapText="1"/>
    </xf>
    <xf numFmtId="0" fontId="3" fillId="7" borderId="70" xfId="0" applyFont="1" applyFill="1" applyBorder="1" applyAlignment="1">
      <alignment wrapText="1"/>
    </xf>
    <xf numFmtId="0" fontId="9" fillId="7" borderId="70" xfId="0" applyFont="1" applyFill="1" applyBorder="1" applyAlignment="1">
      <alignment horizontal="center" vertical="center" wrapText="1"/>
    </xf>
    <xf numFmtId="2" fontId="9" fillId="7" borderId="70" xfId="0" applyNumberFormat="1" applyFont="1" applyFill="1" applyBorder="1" applyAlignment="1">
      <alignment horizontal="center" vertical="center"/>
    </xf>
    <xf numFmtId="0" fontId="3" fillId="11"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8" fillId="0" borderId="40" xfId="0" applyFont="1" applyBorder="1" applyAlignment="1">
      <alignment vertical="center" wrapText="1"/>
    </xf>
    <xf numFmtId="0" fontId="7" fillId="6" borderId="4" xfId="0" applyFont="1" applyFill="1" applyBorder="1" applyAlignment="1">
      <alignment vertical="top" wrapText="1"/>
    </xf>
    <xf numFmtId="0" fontId="14" fillId="7" borderId="4" xfId="0" applyFont="1" applyFill="1" applyBorder="1" applyAlignment="1">
      <alignment vertical="center"/>
    </xf>
    <xf numFmtId="0" fontId="9" fillId="11" borderId="4" xfId="0" applyFont="1" applyFill="1" applyBorder="1" applyAlignment="1">
      <alignment vertical="top" wrapText="1"/>
    </xf>
    <xf numFmtId="0" fontId="3" fillId="7" borderId="13" xfId="0" applyFont="1" applyFill="1" applyBorder="1"/>
    <xf numFmtId="0" fontId="3" fillId="7" borderId="13" xfId="0" applyFont="1" applyFill="1" applyBorder="1" applyAlignment="1">
      <alignment wrapText="1"/>
    </xf>
    <xf numFmtId="0" fontId="9" fillId="0" borderId="0" xfId="0" applyFont="1"/>
    <xf numFmtId="0" fontId="4" fillId="10" borderId="48" xfId="0" applyFont="1" applyFill="1" applyBorder="1" applyAlignment="1">
      <alignment vertical="center"/>
    </xf>
    <xf numFmtId="0" fontId="40"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7" borderId="4" xfId="0" applyFont="1" applyFill="1" applyBorder="1" applyAlignment="1">
      <alignment horizontal="center"/>
    </xf>
    <xf numFmtId="0" fontId="13" fillId="0" borderId="0" xfId="0" applyFont="1" applyAlignment="1">
      <alignment horizontal="center" vertical="center" wrapText="1"/>
    </xf>
    <xf numFmtId="0" fontId="10" fillId="14" borderId="40" xfId="0" applyFont="1" applyFill="1" applyBorder="1" applyAlignment="1">
      <alignment horizontal="center" vertical="top" wrapText="1"/>
    </xf>
    <xf numFmtId="2" fontId="9" fillId="7" borderId="40" xfId="0" applyNumberFormat="1" applyFont="1" applyFill="1" applyBorder="1" applyAlignment="1">
      <alignment horizontal="center" vertical="center" wrapText="1"/>
    </xf>
    <xf numFmtId="2" fontId="9" fillId="11"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10"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2" borderId="4" xfId="0" applyFont="1" applyFill="1" applyBorder="1" applyAlignment="1">
      <alignment horizontal="center" vertical="center"/>
    </xf>
    <xf numFmtId="2" fontId="3" fillId="11" borderId="70" xfId="0" applyNumberFormat="1" applyFont="1" applyFill="1" applyBorder="1" applyAlignment="1">
      <alignment horizontal="center" vertical="center"/>
    </xf>
    <xf numFmtId="0" fontId="3" fillId="7" borderId="70" xfId="0" applyFont="1" applyFill="1" applyBorder="1" applyAlignment="1">
      <alignment horizontal="center" vertical="center" wrapText="1"/>
    </xf>
    <xf numFmtId="2" fontId="3" fillId="7" borderId="70" xfId="0" applyNumberFormat="1" applyFont="1" applyFill="1" applyBorder="1" applyAlignment="1">
      <alignment horizontal="center" vertical="center"/>
    </xf>
    <xf numFmtId="3" fontId="0" fillId="0" borderId="0" xfId="0" applyNumberFormat="1"/>
    <xf numFmtId="0" fontId="2" fillId="0" borderId="38" xfId="0" applyFont="1" applyBorder="1"/>
    <xf numFmtId="0" fontId="2" fillId="0" borderId="39" xfId="0" applyFont="1" applyBorder="1"/>
    <xf numFmtId="0" fontId="3" fillId="11" borderId="70" xfId="1" applyFont="1" applyFill="1" applyBorder="1" applyAlignment="1">
      <alignment horizontal="center" vertical="center" wrapText="1"/>
    </xf>
    <xf numFmtId="0" fontId="5" fillId="7" borderId="13" xfId="0" applyFont="1" applyFill="1" applyBorder="1" applyAlignment="1">
      <alignment horizontal="center" vertical="center"/>
    </xf>
    <xf numFmtId="0" fontId="5" fillId="0" borderId="0" xfId="0" applyFont="1" applyAlignment="1">
      <alignment horizontal="center" vertical="center"/>
    </xf>
    <xf numFmtId="0" fontId="5" fillId="7" borderId="13" xfId="0" applyFont="1" applyFill="1" applyBorder="1" applyAlignment="1">
      <alignment horizontal="center" vertical="center" wrapText="1"/>
    </xf>
    <xf numFmtId="0" fontId="3" fillId="3" borderId="48" xfId="0" applyFont="1" applyFill="1" applyBorder="1"/>
    <xf numFmtId="0" fontId="3" fillId="0" borderId="57" xfId="0" applyFont="1" applyBorder="1"/>
    <xf numFmtId="0" fontId="3" fillId="0" borderId="58" xfId="0" applyFont="1" applyBorder="1"/>
    <xf numFmtId="0" fontId="41" fillId="0" borderId="23" xfId="0" applyFont="1" applyBorder="1" applyAlignment="1">
      <alignment vertical="center" wrapText="1"/>
    </xf>
    <xf numFmtId="0" fontId="41" fillId="0" borderId="24" xfId="0" applyFont="1" applyBorder="1" applyAlignment="1">
      <alignment vertical="center" wrapText="1"/>
    </xf>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0" fontId="4" fillId="2" borderId="1" xfId="0" applyFont="1" applyFill="1" applyBorder="1" applyAlignment="1">
      <alignment horizontal="left" vertical="center"/>
    </xf>
    <xf numFmtId="0" fontId="5" fillId="4"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5" fillId="11" borderId="31" xfId="0" applyFont="1" applyFill="1" applyBorder="1" applyAlignment="1">
      <alignment horizontal="left"/>
    </xf>
    <xf numFmtId="0" fontId="2" fillId="0" borderId="32" xfId="0" applyFont="1" applyBorder="1"/>
    <xf numFmtId="0" fontId="5" fillId="7" borderId="34" xfId="0" applyFont="1" applyFill="1" applyBorder="1" applyAlignment="1">
      <alignment horizontal="left"/>
    </xf>
    <xf numFmtId="0" fontId="2" fillId="0" borderId="35" xfId="0" applyFont="1" applyBorder="1"/>
    <xf numFmtId="0" fontId="5" fillId="7" borderId="31" xfId="0" applyFont="1" applyFill="1" applyBorder="1" applyAlignment="1">
      <alignment horizontal="left"/>
    </xf>
    <xf numFmtId="0" fontId="14" fillId="6"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1" fillId="5" borderId="1" xfId="0" applyFont="1" applyFill="1" applyBorder="1" applyAlignment="1">
      <alignment horizontal="left" vertical="center"/>
    </xf>
    <xf numFmtId="0" fontId="7" fillId="6" borderId="5" xfId="0" applyFont="1" applyFill="1" applyBorder="1" applyAlignment="1">
      <alignment horizontal="left" vertical="top" wrapText="1"/>
    </xf>
    <xf numFmtId="0" fontId="10" fillId="5" borderId="1" xfId="0" applyFont="1" applyFill="1" applyBorder="1" applyAlignment="1">
      <alignment horizontal="left" vertical="center"/>
    </xf>
    <xf numFmtId="0" fontId="10" fillId="9"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7"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1" fillId="3" borderId="1" xfId="0" applyFont="1" applyFill="1" applyBorder="1" applyAlignment="1">
      <alignment horizontal="left" vertical="center"/>
    </xf>
    <xf numFmtId="0" fontId="8"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13" fillId="3" borderId="1" xfId="0" applyFont="1" applyFill="1" applyBorder="1" applyAlignment="1">
      <alignment horizontal="left" vertical="center"/>
    </xf>
    <xf numFmtId="0" fontId="3" fillId="11" borderId="25" xfId="0" applyFont="1" applyFill="1" applyBorder="1" applyAlignment="1">
      <alignment horizontal="center" vertical="center"/>
    </xf>
    <xf numFmtId="0" fontId="9" fillId="11" borderId="25" xfId="0" applyFont="1" applyFill="1" applyBorder="1" applyAlignment="1">
      <alignment horizontal="center" vertical="center"/>
    </xf>
    <xf numFmtId="0" fontId="3" fillId="7"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6" borderId="41" xfId="0" applyFont="1" applyFill="1" applyBorder="1" applyAlignment="1">
      <alignment horizontal="left" vertical="top" wrapText="1"/>
    </xf>
    <xf numFmtId="0" fontId="2" fillId="0" borderId="42" xfId="0" applyFont="1" applyBorder="1"/>
    <xf numFmtId="0" fontId="3" fillId="11" borderId="25" xfId="0" applyFont="1" applyFill="1" applyBorder="1" applyAlignment="1">
      <alignment horizontal="center" vertical="center" wrapText="1"/>
    </xf>
    <xf numFmtId="0" fontId="10" fillId="5" borderId="25" xfId="0" applyFont="1" applyFill="1" applyBorder="1" applyAlignment="1">
      <alignment horizontal="left" vertical="center"/>
    </xf>
    <xf numFmtId="0" fontId="17" fillId="11" borderId="25" xfId="0" applyFont="1" applyFill="1" applyBorder="1" applyAlignment="1">
      <alignment horizontal="left" vertical="center"/>
    </xf>
    <xf numFmtId="0" fontId="10" fillId="5"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1"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5" borderId="5" xfId="0" applyFont="1" applyFill="1" applyBorder="1" applyAlignment="1">
      <alignment horizontal="left" vertical="top" wrapText="1"/>
    </xf>
    <xf numFmtId="0" fontId="28" fillId="7"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1" borderId="37" xfId="0" applyFont="1" applyFill="1" applyBorder="1" applyAlignment="1">
      <alignment horizontal="center" vertical="center" wrapText="1"/>
    </xf>
    <xf numFmtId="0" fontId="10" fillId="9"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3" fillId="11" borderId="37" xfId="0" applyFont="1" applyFill="1" applyBorder="1" applyAlignment="1">
      <alignment horizontal="left" vertical="top" wrapText="1"/>
    </xf>
    <xf numFmtId="0" fontId="3" fillId="11"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7" borderId="37" xfId="0" applyFont="1" applyFill="1" applyBorder="1" applyAlignment="1">
      <alignment vertical="center" wrapText="1"/>
    </xf>
    <xf numFmtId="0" fontId="23" fillId="7" borderId="37" xfId="0" applyFont="1" applyFill="1" applyBorder="1" applyAlignment="1">
      <alignment vertical="center"/>
    </xf>
    <xf numFmtId="0" fontId="3" fillId="7" borderId="56" xfId="0" applyFont="1" applyFill="1" applyBorder="1" applyAlignment="1">
      <alignment horizontal="center" vertical="center" wrapText="1"/>
    </xf>
    <xf numFmtId="0" fontId="3" fillId="7" borderId="59" xfId="0" applyFont="1" applyFill="1" applyBorder="1" applyAlignment="1">
      <alignment horizontal="center" vertical="center" wrapText="1"/>
    </xf>
    <xf numFmtId="0" fontId="3" fillId="7" borderId="39" xfId="0" applyFont="1" applyFill="1" applyBorder="1" applyAlignment="1">
      <alignment horizontal="center" vertical="center" wrapText="1"/>
    </xf>
    <xf numFmtId="0" fontId="40" fillId="7" borderId="37" xfId="0" applyFont="1" applyFill="1" applyBorder="1" applyAlignment="1">
      <alignment horizontal="left" vertical="top" wrapText="1"/>
    </xf>
    <xf numFmtId="0" fontId="24" fillId="7" borderId="56" xfId="0" applyFont="1" applyFill="1" applyBorder="1" applyAlignment="1">
      <alignment horizontal="center" vertical="top" wrapText="1"/>
    </xf>
    <xf numFmtId="0" fontId="24" fillId="7" borderId="59" xfId="0" applyFont="1" applyFill="1" applyBorder="1" applyAlignment="1">
      <alignment horizontal="center" vertical="top" wrapText="1"/>
    </xf>
    <xf numFmtId="0" fontId="24" fillId="7" borderId="39" xfId="0" applyFont="1" applyFill="1" applyBorder="1" applyAlignment="1">
      <alignment horizontal="center" vertical="top" wrapText="1"/>
    </xf>
    <xf numFmtId="0" fontId="40" fillId="7" borderId="56" xfId="0" applyFont="1" applyFill="1" applyBorder="1" applyAlignment="1">
      <alignment horizontal="center" vertical="top" wrapText="1"/>
    </xf>
    <xf numFmtId="0" fontId="40" fillId="7" borderId="59" xfId="0" applyFont="1" applyFill="1" applyBorder="1" applyAlignment="1">
      <alignment horizontal="center" vertical="top" wrapText="1"/>
    </xf>
    <xf numFmtId="0" fontId="40" fillId="7" borderId="39" xfId="0" applyFont="1" applyFill="1" applyBorder="1" applyAlignment="1">
      <alignment horizontal="center" vertical="top" wrapText="1"/>
    </xf>
    <xf numFmtId="0" fontId="40" fillId="7" borderId="37" xfId="0" applyFont="1" applyFill="1" applyBorder="1" applyAlignment="1">
      <alignment horizontal="left" vertical="top"/>
    </xf>
    <xf numFmtId="0" fontId="24" fillId="7" borderId="56" xfId="0" applyFont="1" applyFill="1" applyBorder="1" applyAlignment="1">
      <alignment horizontal="center" vertical="top"/>
    </xf>
    <xf numFmtId="0" fontId="24" fillId="7" borderId="59" xfId="0" applyFont="1" applyFill="1" applyBorder="1" applyAlignment="1">
      <alignment horizontal="center" vertical="top"/>
    </xf>
    <xf numFmtId="0" fontId="24" fillId="7" borderId="39" xfId="0" applyFont="1" applyFill="1" applyBorder="1" applyAlignment="1">
      <alignment horizontal="center" vertical="top"/>
    </xf>
    <xf numFmtId="0" fontId="3" fillId="7" borderId="37" xfId="0" applyFont="1" applyFill="1" applyBorder="1" applyAlignment="1">
      <alignment horizontal="left" vertical="top"/>
    </xf>
    <xf numFmtId="0" fontId="40" fillId="7"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3" fillId="7" borderId="56" xfId="0" applyFont="1" applyFill="1" applyBorder="1" applyAlignment="1">
      <alignment horizontal="center" vertical="top"/>
    </xf>
    <xf numFmtId="0" fontId="3" fillId="7" borderId="59" xfId="0" applyFont="1" applyFill="1" applyBorder="1" applyAlignment="1">
      <alignment horizontal="center" vertical="top"/>
    </xf>
    <xf numFmtId="0" fontId="3" fillId="7" borderId="39" xfId="0" applyFont="1" applyFill="1" applyBorder="1" applyAlignment="1">
      <alignment horizontal="center" vertical="top"/>
    </xf>
    <xf numFmtId="0" fontId="10" fillId="5" borderId="1" xfId="0" applyFont="1" applyFill="1" applyBorder="1" applyAlignment="1">
      <alignment horizontal="center" vertical="center"/>
    </xf>
    <xf numFmtId="0" fontId="41" fillId="0" borderId="71" xfId="0" applyFont="1" applyBorder="1" applyAlignment="1">
      <alignment horizontal="center"/>
    </xf>
    <xf numFmtId="0" fontId="0" fillId="0" borderId="72" xfId="0" applyBorder="1" applyAlignment="1">
      <alignment horizontal="center"/>
    </xf>
    <xf numFmtId="0" fontId="0" fillId="0" borderId="73" xfId="0" applyBorder="1" applyAlignment="1">
      <alignment horizontal="center"/>
    </xf>
    <xf numFmtId="0" fontId="3" fillId="7" borderId="37" xfId="0" applyFont="1" applyFill="1" applyBorder="1" applyAlignment="1">
      <alignment horizontal="center" vertical="center" wrapText="1"/>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3" fillId="11" borderId="56" xfId="0" applyFont="1" applyFill="1" applyBorder="1" applyAlignment="1">
      <alignment horizontal="center" vertical="center" wrapText="1"/>
    </xf>
    <xf numFmtId="0" fontId="3" fillId="11" borderId="59" xfId="0" applyFont="1" applyFill="1" applyBorder="1" applyAlignment="1">
      <alignment horizontal="center" vertical="center" wrapText="1"/>
    </xf>
    <xf numFmtId="0" fontId="3" fillId="11" borderId="39" xfId="0" applyFont="1" applyFill="1" applyBorder="1" applyAlignment="1">
      <alignment horizontal="center" vertical="center" wrapText="1"/>
    </xf>
    <xf numFmtId="0" fontId="9" fillId="7" borderId="56" xfId="0" quotePrefix="1" applyFont="1" applyFill="1" applyBorder="1" applyAlignment="1">
      <alignment horizontal="center" vertical="center" wrapText="1"/>
    </xf>
    <xf numFmtId="0" fontId="9" fillId="7" borderId="59" xfId="0" quotePrefix="1" applyFont="1" applyFill="1" applyBorder="1" applyAlignment="1">
      <alignment horizontal="center" vertical="center" wrapText="1"/>
    </xf>
    <xf numFmtId="0" fontId="9" fillId="7" borderId="39" xfId="0" quotePrefix="1" applyFont="1" applyFill="1" applyBorder="1" applyAlignment="1">
      <alignment horizontal="center" vertical="center" wrapText="1"/>
    </xf>
    <xf numFmtId="0" fontId="28" fillId="11" borderId="76" xfId="0" applyFont="1" applyFill="1" applyBorder="1" applyAlignment="1">
      <alignment horizontal="left" vertical="center" wrapText="1"/>
    </xf>
    <xf numFmtId="0" fontId="2" fillId="0" borderId="77" xfId="0" applyFont="1" applyBorder="1"/>
    <xf numFmtId="0" fontId="2" fillId="0" borderId="78" xfId="0" applyFont="1" applyBorder="1"/>
    <xf numFmtId="0" fontId="24" fillId="11" borderId="37" xfId="0" applyFont="1" applyFill="1" applyBorder="1" applyAlignment="1">
      <alignment horizontal="center" vertical="center" wrapText="1"/>
    </xf>
    <xf numFmtId="0" fontId="41" fillId="0" borderId="75" xfId="0" applyFont="1" applyBorder="1" applyAlignment="1">
      <alignment horizontal="center" vertical="center" wrapText="1"/>
    </xf>
    <xf numFmtId="0" fontId="0" fillId="0" borderId="59" xfId="0" applyBorder="1" applyAlignment="1">
      <alignment horizontal="center" vertical="center" wrapText="1"/>
    </xf>
    <xf numFmtId="0" fontId="0" fillId="0" borderId="39" xfId="0" applyBorder="1" applyAlignment="1">
      <alignment horizontal="center" vertical="center" wrapText="1"/>
    </xf>
    <xf numFmtId="0" fontId="9" fillId="11" borderId="37" xfId="0" applyFont="1" applyFill="1" applyBorder="1" applyAlignment="1">
      <alignment horizontal="center" vertical="center" wrapText="1"/>
    </xf>
    <xf numFmtId="0" fontId="14" fillId="8"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4" fillId="10" borderId="1" xfId="0" applyFont="1" applyFill="1" applyBorder="1" applyAlignment="1">
      <alignment horizontal="left" vertical="center"/>
    </xf>
    <xf numFmtId="0" fontId="3" fillId="0" borderId="25" xfId="0" applyFont="1" applyBorder="1" applyAlignment="1">
      <alignment horizontal="center"/>
    </xf>
    <xf numFmtId="0" fontId="10" fillId="13" borderId="25" xfId="0" applyFont="1" applyFill="1" applyBorder="1" applyAlignment="1">
      <alignment horizontal="left" vertical="top" wrapText="1"/>
    </xf>
    <xf numFmtId="0" fontId="41" fillId="0" borderId="74" xfId="0" applyFont="1" applyBorder="1" applyAlignment="1">
      <alignment horizontal="center" vertical="center" wrapText="1"/>
    </xf>
    <xf numFmtId="0" fontId="41" fillId="0" borderId="23" xfId="0" applyFont="1" applyBorder="1" applyAlignment="1">
      <alignment horizontal="center" vertical="center" wrapText="1"/>
    </xf>
    <xf numFmtId="0" fontId="41" fillId="0" borderId="24" xfId="0" applyFont="1" applyBorder="1" applyAlignment="1">
      <alignment horizontal="center" vertical="center" wrapText="1"/>
    </xf>
    <xf numFmtId="0" fontId="9" fillId="7" borderId="37" xfId="0" applyFont="1" applyFill="1" applyBorder="1" applyAlignment="1">
      <alignment horizontal="center" vertical="center" wrapText="1"/>
    </xf>
    <xf numFmtId="0" fontId="10" fillId="14" borderId="25" xfId="0" applyFont="1" applyFill="1" applyBorder="1" applyAlignment="1">
      <alignment horizontal="left" vertical="top" wrapText="1"/>
    </xf>
    <xf numFmtId="0" fontId="10" fillId="14" borderId="50" xfId="0" applyFont="1" applyFill="1" applyBorder="1" applyAlignment="1">
      <alignment horizontal="left" vertical="top" wrapText="1"/>
    </xf>
    <xf numFmtId="0" fontId="2" fillId="0" borderId="51" xfId="0" applyFont="1" applyBorder="1"/>
    <xf numFmtId="0" fontId="28" fillId="7" borderId="25" xfId="0" applyFont="1" applyFill="1" applyBorder="1" applyAlignment="1">
      <alignment horizontal="left" vertical="center" wrapText="1"/>
    </xf>
    <xf numFmtId="0" fontId="28" fillId="11" borderId="25" xfId="0" applyFont="1" applyFill="1" applyBorder="1" applyAlignment="1">
      <alignment horizontal="left" vertical="center" wrapText="1"/>
    </xf>
    <xf numFmtId="0" fontId="4" fillId="12" borderId="1" xfId="0" applyFont="1" applyFill="1" applyBorder="1" applyAlignment="1">
      <alignment horizontal="left" vertical="center"/>
    </xf>
    <xf numFmtId="0" fontId="3" fillId="11" borderId="37" xfId="0" applyFont="1" applyFill="1" applyBorder="1" applyAlignment="1">
      <alignment horizontal="center" wrapText="1"/>
    </xf>
    <xf numFmtId="0" fontId="24" fillId="11" borderId="37" xfId="0" applyFont="1" applyFill="1" applyBorder="1" applyAlignment="1">
      <alignment horizontal="left" vertical="top" wrapText="1"/>
    </xf>
    <xf numFmtId="0" fontId="3" fillId="11" borderId="56" xfId="0" applyFont="1" applyFill="1" applyBorder="1" applyAlignment="1">
      <alignment horizontal="center" vertical="top" wrapText="1"/>
    </xf>
    <xf numFmtId="0" fontId="3" fillId="11" borderId="59" xfId="0" applyFont="1" applyFill="1" applyBorder="1" applyAlignment="1">
      <alignment horizontal="center" vertical="top" wrapText="1"/>
    </xf>
    <xf numFmtId="0" fontId="3" fillId="11" borderId="39" xfId="0" applyFont="1" applyFill="1" applyBorder="1" applyAlignment="1">
      <alignment horizontal="center" vertical="top" wrapText="1"/>
    </xf>
    <xf numFmtId="0" fontId="29" fillId="7" borderId="37" xfId="0" quotePrefix="1" applyFont="1" applyFill="1" applyBorder="1" applyAlignment="1">
      <alignment horizontal="center" vertical="center" wrapText="1"/>
    </xf>
    <xf numFmtId="0" fontId="28" fillId="7" borderId="76" xfId="0" applyFont="1" applyFill="1" applyBorder="1" applyAlignment="1">
      <alignment horizontal="left" vertical="center" wrapText="1"/>
    </xf>
    <xf numFmtId="0" fontId="10" fillId="14" borderId="61" xfId="0" applyFont="1" applyFill="1" applyBorder="1" applyAlignment="1">
      <alignment horizontal="left" vertical="top" wrapText="1"/>
    </xf>
    <xf numFmtId="0" fontId="2" fillId="0" borderId="62" xfId="0" applyFont="1" applyBorder="1"/>
    <xf numFmtId="0" fontId="2" fillId="0" borderId="63" xfId="0" applyFont="1" applyBorder="1"/>
    <xf numFmtId="0" fontId="28" fillId="7" borderId="76" xfId="0" applyFont="1" applyFill="1" applyBorder="1" applyAlignment="1">
      <alignment horizontal="center" vertical="center" wrapText="1"/>
    </xf>
    <xf numFmtId="0" fontId="28" fillId="7" borderId="77" xfId="0" applyFont="1" applyFill="1" applyBorder="1" applyAlignment="1">
      <alignment horizontal="center" vertical="center" wrapText="1"/>
    </xf>
    <xf numFmtId="0" fontId="28" fillId="7" borderId="78" xfId="0" applyFont="1" applyFill="1" applyBorder="1" applyAlignment="1">
      <alignment horizontal="center" vertical="center" wrapText="1"/>
    </xf>
    <xf numFmtId="0" fontId="9" fillId="7" borderId="37" xfId="0" quotePrefix="1" applyFont="1" applyFill="1" applyBorder="1" applyAlignment="1">
      <alignment horizontal="center" vertical="center" wrapText="1"/>
    </xf>
    <xf numFmtId="0" fontId="9" fillId="11" borderId="37" xfId="0" quotePrefix="1" applyFont="1" applyFill="1" applyBorder="1" applyAlignment="1">
      <alignment horizontal="center" vertical="center" wrapText="1"/>
    </xf>
    <xf numFmtId="0" fontId="40" fillId="11" borderId="37" xfId="0" applyFont="1" applyFill="1" applyBorder="1" applyAlignment="1">
      <alignment horizontal="center" vertical="center" wrapText="1"/>
    </xf>
    <xf numFmtId="0" fontId="10" fillId="14" borderId="52" xfId="0" applyFont="1" applyFill="1" applyBorder="1" applyAlignment="1">
      <alignment horizontal="left" vertical="top" wrapText="1"/>
    </xf>
    <xf numFmtId="0" fontId="2" fillId="0" borderId="53" xfId="0" applyFont="1" applyBorder="1"/>
    <xf numFmtId="0" fontId="2" fillId="0" borderId="54" xfId="0" applyFont="1" applyBorder="1"/>
    <xf numFmtId="0" fontId="24" fillId="7" borderId="37" xfId="0" applyFont="1" applyFill="1" applyBorder="1" applyAlignment="1">
      <alignment horizontal="left" vertical="top" wrapText="1"/>
    </xf>
    <xf numFmtId="0" fontId="3" fillId="7" borderId="56" xfId="0" applyFont="1" applyFill="1" applyBorder="1" applyAlignment="1">
      <alignment horizontal="center" vertical="top" wrapText="1"/>
    </xf>
    <xf numFmtId="0" fontId="3" fillId="7" borderId="59" xfId="0" applyFont="1" applyFill="1" applyBorder="1" applyAlignment="1">
      <alignment horizontal="center" vertical="top" wrapText="1"/>
    </xf>
    <xf numFmtId="0" fontId="3" fillId="7" borderId="39" xfId="0" applyFont="1" applyFill="1" applyBorder="1" applyAlignment="1">
      <alignment horizontal="center" vertical="top" wrapText="1"/>
    </xf>
    <xf numFmtId="0" fontId="3" fillId="7" borderId="37" xfId="0" applyFont="1" applyFill="1" applyBorder="1" applyAlignment="1">
      <alignment horizontal="center" wrapText="1"/>
    </xf>
    <xf numFmtId="0" fontId="25" fillId="11" borderId="37" xfId="0" applyFont="1" applyFill="1" applyBorder="1" applyAlignment="1">
      <alignment horizontal="left" vertical="top" wrapText="1"/>
    </xf>
    <xf numFmtId="0" fontId="3" fillId="11" borderId="37" xfId="0" applyFont="1" applyFill="1" applyBorder="1" applyAlignment="1">
      <alignment horizontal="left" vertical="top"/>
    </xf>
    <xf numFmtId="0" fontId="2" fillId="0" borderId="55" xfId="0" applyFont="1" applyBorder="1"/>
    <xf numFmtId="0" fontId="3" fillId="7" borderId="56" xfId="0" applyFont="1" applyFill="1" applyBorder="1" applyAlignment="1">
      <alignment horizontal="left" vertical="top" wrapText="1"/>
    </xf>
    <xf numFmtId="0" fontId="2" fillId="0" borderId="59" xfId="0" applyFont="1" applyBorder="1" applyAlignment="1">
      <alignment wrapText="1"/>
    </xf>
    <xf numFmtId="0" fontId="4" fillId="15" borderId="1" xfId="0" applyFont="1" applyFill="1" applyBorder="1" applyAlignment="1">
      <alignment horizontal="left" vertical="center"/>
    </xf>
    <xf numFmtId="0" fontId="2" fillId="0" borderId="55" xfId="0" applyFont="1" applyBorder="1" applyAlignment="1">
      <alignment wrapText="1"/>
    </xf>
    <xf numFmtId="2" fontId="9" fillId="11" borderId="25" xfId="0" applyNumberFormat="1" applyFont="1" applyFill="1" applyBorder="1" applyAlignment="1">
      <alignment horizontal="center" vertical="center"/>
    </xf>
    <xf numFmtId="2" fontId="9" fillId="7" borderId="25" xfId="0" applyNumberFormat="1" applyFont="1" applyFill="1" applyBorder="1" applyAlignment="1">
      <alignment horizontal="center" vertical="center"/>
    </xf>
    <xf numFmtId="0" fontId="10" fillId="14" borderId="25" xfId="0" applyFont="1" applyFill="1" applyBorder="1" applyAlignment="1">
      <alignment horizontal="center" vertical="top" wrapText="1"/>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30"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left" vertical="top" wrapText="1"/>
    </xf>
    <xf numFmtId="0" fontId="23" fillId="8" borderId="1" xfId="0" applyFont="1" applyFill="1" applyBorder="1" applyAlignment="1">
      <alignment horizontal="center" vertical="center"/>
    </xf>
    <xf numFmtId="0" fontId="9" fillId="0" borderId="25" xfId="0" applyFont="1" applyBorder="1" applyAlignment="1">
      <alignment horizontal="center" vertical="center"/>
    </xf>
    <xf numFmtId="0" fontId="9" fillId="0" borderId="25" xfId="0" applyFont="1" applyBorder="1" applyAlignment="1">
      <alignment horizontal="center"/>
    </xf>
    <xf numFmtId="0" fontId="10" fillId="5" borderId="61" xfId="0" applyFont="1" applyFill="1" applyBorder="1" applyAlignment="1">
      <alignment horizontal="center" vertical="top" wrapText="1"/>
    </xf>
    <xf numFmtId="0" fontId="2" fillId="0" borderId="64" xfId="0" applyFont="1" applyBorder="1"/>
    <xf numFmtId="0" fontId="2" fillId="0" borderId="65" xfId="0" applyFont="1" applyBorder="1"/>
    <xf numFmtId="0" fontId="28" fillId="7" borderId="67" xfId="0" applyFont="1" applyFill="1" applyBorder="1" applyAlignment="1">
      <alignment horizontal="center" vertical="center" wrapText="1"/>
    </xf>
    <xf numFmtId="0" fontId="2" fillId="0" borderId="68" xfId="0" applyFont="1" applyBorder="1"/>
    <xf numFmtId="0" fontId="2" fillId="0" borderId="69" xfId="0" applyFont="1" applyBorder="1"/>
    <xf numFmtId="0" fontId="28" fillId="11" borderId="67" xfId="0" applyFont="1" applyFill="1" applyBorder="1" applyAlignment="1">
      <alignment horizontal="left" vertical="center" wrapText="1"/>
    </xf>
    <xf numFmtId="0" fontId="28" fillId="0" borderId="0" xfId="0" applyFont="1" applyAlignment="1">
      <alignment horizontal="left" vertical="center" wrapText="1"/>
    </xf>
    <xf numFmtId="0" fontId="3" fillId="0" borderId="0" xfId="0" applyFont="1" applyAlignment="1">
      <alignment horizontal="center" wrapText="1"/>
    </xf>
    <xf numFmtId="49" fontId="28" fillId="11" borderId="67" xfId="0" applyNumberFormat="1" applyFont="1" applyFill="1" applyBorder="1" applyAlignment="1">
      <alignment horizontal="left" vertical="center" wrapText="1"/>
    </xf>
    <xf numFmtId="49" fontId="2" fillId="0" borderId="68" xfId="0" applyNumberFormat="1" applyFont="1" applyBorder="1"/>
    <xf numFmtId="49" fontId="2" fillId="0" borderId="69" xfId="0" applyNumberFormat="1" applyFont="1" applyBorder="1"/>
    <xf numFmtId="49" fontId="28" fillId="7" borderId="67" xfId="0" applyNumberFormat="1" applyFont="1" applyFill="1" applyBorder="1" applyAlignment="1">
      <alignment horizontal="left" vertical="center" wrapText="1"/>
    </xf>
    <xf numFmtId="0" fontId="28" fillId="7" borderId="67" xfId="0" applyFont="1" applyFill="1" applyBorder="1" applyAlignment="1">
      <alignment horizontal="left" vertical="center" wrapText="1"/>
    </xf>
    <xf numFmtId="0" fontId="28" fillId="11" borderId="67" xfId="0" applyFont="1" applyFill="1" applyBorder="1" applyAlignment="1">
      <alignment horizontal="center" vertical="center" wrapText="1"/>
    </xf>
    <xf numFmtId="0" fontId="34" fillId="5" borderId="1" xfId="0" applyFont="1" applyFill="1" applyBorder="1" applyAlignment="1">
      <alignment horizontal="left" vertical="center" wrapText="1"/>
    </xf>
    <xf numFmtId="0" fontId="7" fillId="6" borderId="5" xfId="0" applyFont="1" applyFill="1" applyBorder="1" applyAlignment="1">
      <alignment horizontal="center" vertical="top" wrapText="1"/>
    </xf>
    <xf numFmtId="3" fontId="3" fillId="7" borderId="13" xfId="0" applyNumberFormat="1" applyFont="1" applyFill="1" applyBorder="1" applyAlignment="1">
      <alignment horizontal="center" vertical="center" wrapText="1"/>
    </xf>
    <xf numFmtId="3" fontId="3" fillId="7" borderId="13" xfId="0" applyNumberFormat="1" applyFont="1" applyFill="1" applyBorder="1" applyAlignment="1">
      <alignment horizontal="center" vertical="center"/>
    </xf>
  </cellXfs>
  <cellStyles count="2">
    <cellStyle name="Normal" xfId="0" builtinId="0"/>
    <cellStyle name="Normal 2" xfId="1" xr:uid="{C70CFBF0-4164-4743-83AF-8D199A92DC7E}"/>
  </cellStyles>
  <dxfs count="35">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313892</xdr:colOff>
      <xdr:row>74</xdr:row>
      <xdr:rowOff>43297</xdr:rowOff>
    </xdr:from>
    <xdr:to>
      <xdr:col>10</xdr:col>
      <xdr:colOff>1244744</xdr:colOff>
      <xdr:row>106</xdr:row>
      <xdr:rowOff>32473</xdr:rowOff>
    </xdr:to>
    <xdr:pic>
      <xdr:nvPicPr>
        <xdr:cNvPr id="2" name="Image 1">
          <a:extLst>
            <a:ext uri="{FF2B5EF4-FFF2-40B4-BE49-F238E27FC236}">
              <a16:creationId xmlns:a16="http://schemas.microsoft.com/office/drawing/2014/main" id="{EFDAC2A0-777E-C5D8-244F-D47648028E1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89" t="9539" r="2632" b="5071"/>
        <a:stretch/>
      </xdr:blipFill>
      <xdr:spPr bwMode="auto">
        <a:xfrm>
          <a:off x="2619375" y="39474632"/>
          <a:ext cx="3972358" cy="4838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refreshError="1"/>
      <sheetData sheetId="1" refreshError="1"/>
      <sheetData sheetId="2" refreshError="1"/>
      <sheetData sheetId="3" refreshError="1">
        <row r="16">
          <cell r="M16" t="str">
            <v>Cyclone</v>
          </cell>
        </row>
        <row r="32">
          <cell r="C32" t="str">
            <v xml:space="preserve">Epidémies </v>
          </cell>
        </row>
      </sheetData>
      <sheetData sheetId="4" refreshError="1"/>
      <sheetData sheetId="5" refreshError="1"/>
      <sheetData sheetId="6" refreshError="1"/>
      <sheetData sheetId="7" refreshError="1">
        <row r="15">
          <cell r="M15" t="str">
            <v>HIGH</v>
          </cell>
        </row>
        <row r="39">
          <cell r="M39" t="str">
            <v>MOYENNE</v>
          </cell>
        </row>
      </sheetData>
      <sheetData sheetId="8" refreshError="1"/>
      <sheetData sheetId="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zoomScale="84" zoomScaleNormal="84" workbookViewId="0">
      <selection activeCell="P22" sqref="P22"/>
    </sheetView>
  </sheetViews>
  <sheetFormatPr baseColWidth="10" defaultColWidth="11.19921875" defaultRowHeight="15" customHeight="1" x14ac:dyDescent="0.3"/>
  <cols>
    <col min="1" max="1" width="1" customWidth="1"/>
    <col min="2" max="2" width="1.69921875" customWidth="1"/>
    <col min="3" max="3" width="27.09765625" customWidth="1"/>
    <col min="4" max="4" width="1.69921875" customWidth="1"/>
    <col min="5" max="5" width="1.3984375" customWidth="1"/>
    <col min="6" max="6" width="1.69921875" customWidth="1"/>
    <col min="7" max="7" width="14.69921875" customWidth="1"/>
    <col min="8" max="8" width="1.69921875" customWidth="1"/>
    <col min="9" max="9" width="8.09765625" customWidth="1"/>
    <col min="10" max="10" width="1.69921875" customWidth="1"/>
    <col min="11" max="11" width="14.69921875" customWidth="1"/>
    <col min="12" max="12" width="1.69921875" customWidth="1"/>
    <col min="13" max="13" width="39.69921875" customWidth="1"/>
    <col min="14" max="14" width="1.69921875" customWidth="1"/>
    <col min="15" max="15" width="1" customWidth="1"/>
    <col min="16" max="26" width="10.69921875" customWidth="1"/>
  </cols>
  <sheetData>
    <row r="1" spans="1:26" ht="39.75" customHeight="1" x14ac:dyDescent="0.4">
      <c r="A1" s="196" t="s">
        <v>0</v>
      </c>
      <c r="B1" s="197"/>
      <c r="C1" s="197"/>
      <c r="D1" s="197"/>
      <c r="E1" s="197"/>
      <c r="F1" s="197"/>
      <c r="G1" s="197"/>
      <c r="H1" s="197"/>
      <c r="I1" s="197"/>
      <c r="J1" s="197"/>
      <c r="K1" s="197"/>
      <c r="L1" s="197"/>
      <c r="M1" s="197"/>
      <c r="N1" s="197"/>
      <c r="O1" s="198"/>
      <c r="P1" s="1"/>
      <c r="Q1" s="1"/>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1"/>
      <c r="Q2" s="1"/>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12" customHeight="1" x14ac:dyDescent="0.3">
      <c r="A4" s="4"/>
      <c r="B4" s="4"/>
      <c r="C4" s="4"/>
      <c r="D4" s="4"/>
      <c r="E4" s="4"/>
      <c r="F4" s="4"/>
      <c r="G4" s="4"/>
      <c r="H4" s="4"/>
      <c r="I4" s="4"/>
      <c r="J4" s="4"/>
      <c r="K4" s="4"/>
      <c r="L4" s="4"/>
      <c r="M4" s="4"/>
      <c r="N4" s="4"/>
      <c r="O4" s="4"/>
      <c r="P4" s="3"/>
      <c r="Q4" s="3"/>
      <c r="R4" s="3"/>
      <c r="S4" s="3"/>
      <c r="T4" s="3"/>
      <c r="U4" s="3"/>
      <c r="V4" s="3"/>
      <c r="W4" s="3"/>
      <c r="X4" s="3"/>
      <c r="Y4" s="3"/>
      <c r="Z4" s="3"/>
    </row>
    <row r="5" spans="1:26" ht="12" customHeight="1" x14ac:dyDescent="0.3">
      <c r="A5" s="4"/>
      <c r="B5" s="3"/>
      <c r="C5" s="3"/>
      <c r="D5" s="3"/>
      <c r="E5" s="3"/>
      <c r="F5" s="3"/>
      <c r="G5" s="3"/>
      <c r="H5" s="3"/>
      <c r="I5" s="3"/>
      <c r="J5" s="3"/>
      <c r="K5" s="3"/>
      <c r="L5" s="3"/>
      <c r="M5" s="3"/>
      <c r="N5" s="3"/>
      <c r="O5" s="4"/>
      <c r="P5" s="3"/>
      <c r="Q5" s="3"/>
      <c r="R5" s="3"/>
      <c r="S5" s="3"/>
      <c r="T5" s="3"/>
      <c r="U5" s="3"/>
      <c r="V5" s="3"/>
      <c r="W5" s="3"/>
      <c r="X5" s="3"/>
      <c r="Y5" s="3"/>
      <c r="Z5" s="3"/>
    </row>
    <row r="6" spans="1:26" ht="31.5" customHeight="1" x14ac:dyDescent="0.3">
      <c r="A6" s="4"/>
      <c r="B6" s="3"/>
      <c r="C6" s="199" t="s">
        <v>1</v>
      </c>
      <c r="D6" s="197"/>
      <c r="E6" s="197"/>
      <c r="F6" s="197"/>
      <c r="G6" s="197"/>
      <c r="H6" s="197"/>
      <c r="I6" s="197"/>
      <c r="J6" s="197"/>
      <c r="K6" s="197"/>
      <c r="L6" s="197"/>
      <c r="M6" s="198"/>
      <c r="N6" s="3"/>
      <c r="O6" s="4"/>
      <c r="P6" s="3"/>
      <c r="Q6" s="3"/>
      <c r="R6" s="3"/>
      <c r="S6" s="3"/>
      <c r="T6" s="3"/>
      <c r="U6" s="3"/>
      <c r="V6" s="3"/>
      <c r="W6" s="3"/>
      <c r="X6" s="3"/>
      <c r="Y6" s="3"/>
      <c r="Z6" s="3"/>
    </row>
    <row r="7" spans="1:26" ht="12" customHeight="1" x14ac:dyDescent="0.3">
      <c r="A7" s="4"/>
      <c r="B7" s="3"/>
      <c r="C7" s="3"/>
      <c r="D7" s="3"/>
      <c r="E7" s="3"/>
      <c r="F7" s="3"/>
      <c r="G7" s="3"/>
      <c r="H7" s="3"/>
      <c r="I7" s="3"/>
      <c r="J7" s="3"/>
      <c r="K7" s="3"/>
      <c r="L7" s="3"/>
      <c r="M7" s="3"/>
      <c r="N7" s="3"/>
      <c r="O7" s="4"/>
      <c r="P7" s="3"/>
      <c r="Q7" s="3"/>
      <c r="R7" s="3"/>
      <c r="S7" s="3"/>
      <c r="T7" s="3"/>
      <c r="U7" s="3"/>
      <c r="V7" s="3"/>
      <c r="W7" s="3"/>
      <c r="X7" s="3"/>
      <c r="Y7" s="3"/>
      <c r="Z7" s="3"/>
    </row>
    <row r="8" spans="1:26" ht="12" customHeight="1" x14ac:dyDescent="0.3">
      <c r="A8" s="4"/>
      <c r="B8" s="3"/>
      <c r="C8" s="200" t="s">
        <v>2</v>
      </c>
      <c r="D8" s="201"/>
      <c r="E8" s="201"/>
      <c r="F8" s="201"/>
      <c r="G8" s="201"/>
      <c r="H8" s="201"/>
      <c r="I8" s="202"/>
      <c r="J8" s="3"/>
      <c r="K8" s="200" t="s">
        <v>3</v>
      </c>
      <c r="L8" s="201"/>
      <c r="M8" s="202"/>
      <c r="N8" s="3"/>
      <c r="O8" s="4"/>
      <c r="P8" s="3"/>
      <c r="Q8" s="3"/>
      <c r="R8" s="3"/>
      <c r="S8" s="3"/>
      <c r="T8" s="3"/>
      <c r="U8" s="3"/>
      <c r="V8" s="3"/>
      <c r="W8" s="3"/>
      <c r="X8" s="3"/>
      <c r="Y8" s="3"/>
      <c r="Z8" s="3"/>
    </row>
    <row r="9" spans="1:26" ht="12" customHeight="1" x14ac:dyDescent="0.3">
      <c r="A9" s="4"/>
      <c r="B9" s="3"/>
      <c r="C9" s="203"/>
      <c r="D9" s="204"/>
      <c r="E9" s="204"/>
      <c r="F9" s="204"/>
      <c r="G9" s="204"/>
      <c r="H9" s="204"/>
      <c r="I9" s="205"/>
      <c r="J9" s="3"/>
      <c r="K9" s="203"/>
      <c r="L9" s="204"/>
      <c r="M9" s="205"/>
      <c r="N9" s="3"/>
      <c r="O9" s="4"/>
      <c r="P9" s="3"/>
      <c r="Q9" s="3"/>
      <c r="R9" s="3"/>
      <c r="S9" s="3"/>
      <c r="T9" s="3"/>
      <c r="U9" s="3"/>
      <c r="V9" s="3"/>
      <c r="W9" s="3"/>
      <c r="X9" s="3"/>
      <c r="Y9" s="3"/>
      <c r="Z9" s="3"/>
    </row>
    <row r="10" spans="1:26" ht="12" customHeight="1" x14ac:dyDescent="0.3">
      <c r="A10" s="4"/>
      <c r="B10" s="3"/>
      <c r="C10" s="203"/>
      <c r="D10" s="204"/>
      <c r="E10" s="204"/>
      <c r="F10" s="204"/>
      <c r="G10" s="204"/>
      <c r="H10" s="204"/>
      <c r="I10" s="205"/>
      <c r="J10" s="3"/>
      <c r="K10" s="203"/>
      <c r="L10" s="204"/>
      <c r="M10" s="205"/>
      <c r="N10" s="3"/>
      <c r="O10" s="4"/>
      <c r="P10" s="3"/>
      <c r="Q10" s="3"/>
      <c r="R10" s="3"/>
      <c r="S10" s="3"/>
      <c r="T10" s="3"/>
      <c r="U10" s="3"/>
      <c r="V10" s="3"/>
      <c r="W10" s="3"/>
      <c r="X10" s="3"/>
      <c r="Y10" s="3"/>
      <c r="Z10" s="3"/>
    </row>
    <row r="11" spans="1:26" ht="12" customHeight="1" x14ac:dyDescent="0.3">
      <c r="A11" s="4"/>
      <c r="B11" s="3"/>
      <c r="C11" s="203"/>
      <c r="D11" s="204"/>
      <c r="E11" s="204"/>
      <c r="F11" s="204"/>
      <c r="G11" s="204"/>
      <c r="H11" s="204"/>
      <c r="I11" s="205"/>
      <c r="J11" s="3"/>
      <c r="K11" s="203"/>
      <c r="L11" s="204"/>
      <c r="M11" s="205"/>
      <c r="N11" s="3"/>
      <c r="O11" s="4"/>
      <c r="P11" s="3"/>
      <c r="Q11" s="3"/>
      <c r="R11" s="3"/>
      <c r="S11" s="3"/>
      <c r="T11" s="3"/>
      <c r="U11" s="3"/>
      <c r="V11" s="3"/>
      <c r="W11" s="3"/>
      <c r="X11" s="3"/>
      <c r="Y11" s="3"/>
      <c r="Z11" s="3"/>
    </row>
    <row r="12" spans="1:26" ht="12" customHeight="1" x14ac:dyDescent="0.3">
      <c r="A12" s="4"/>
      <c r="B12" s="3"/>
      <c r="C12" s="203"/>
      <c r="D12" s="204"/>
      <c r="E12" s="204"/>
      <c r="F12" s="204"/>
      <c r="G12" s="204"/>
      <c r="H12" s="204"/>
      <c r="I12" s="205"/>
      <c r="J12" s="3"/>
      <c r="K12" s="203"/>
      <c r="L12" s="204"/>
      <c r="M12" s="205"/>
      <c r="N12" s="3"/>
      <c r="O12" s="4"/>
      <c r="P12" s="3"/>
      <c r="Q12" s="3"/>
      <c r="R12" s="3"/>
      <c r="S12" s="3"/>
      <c r="T12" s="3"/>
      <c r="U12" s="3"/>
      <c r="V12" s="3"/>
      <c r="W12" s="3"/>
      <c r="X12" s="3"/>
      <c r="Y12" s="3"/>
      <c r="Z12" s="3"/>
    </row>
    <row r="13" spans="1:26" ht="12" customHeight="1" x14ac:dyDescent="0.3">
      <c r="A13" s="4"/>
      <c r="B13" s="3"/>
      <c r="C13" s="203"/>
      <c r="D13" s="204"/>
      <c r="E13" s="204"/>
      <c r="F13" s="204"/>
      <c r="G13" s="204"/>
      <c r="H13" s="204"/>
      <c r="I13" s="205"/>
      <c r="J13" s="3"/>
      <c r="K13" s="203"/>
      <c r="L13" s="204"/>
      <c r="M13" s="205"/>
      <c r="N13" s="3"/>
      <c r="O13" s="4"/>
      <c r="P13" s="3"/>
      <c r="Q13" s="3"/>
      <c r="R13" s="3"/>
      <c r="S13" s="3"/>
      <c r="T13" s="3"/>
      <c r="U13" s="3"/>
      <c r="V13" s="3"/>
      <c r="W13" s="3"/>
      <c r="X13" s="3"/>
      <c r="Y13" s="3"/>
      <c r="Z13" s="3"/>
    </row>
    <row r="14" spans="1:26" ht="12" customHeight="1" x14ac:dyDescent="0.3">
      <c r="A14" s="4"/>
      <c r="B14" s="3"/>
      <c r="C14" s="203"/>
      <c r="D14" s="204"/>
      <c r="E14" s="204"/>
      <c r="F14" s="204"/>
      <c r="G14" s="204"/>
      <c r="H14" s="204"/>
      <c r="I14" s="205"/>
      <c r="J14" s="3"/>
      <c r="K14" s="203"/>
      <c r="L14" s="204"/>
      <c r="M14" s="205"/>
      <c r="N14" s="3"/>
      <c r="O14" s="4"/>
      <c r="P14" s="3"/>
      <c r="Q14" s="3"/>
      <c r="R14" s="3"/>
      <c r="S14" s="3"/>
      <c r="T14" s="3"/>
      <c r="U14" s="3"/>
      <c r="V14" s="3"/>
      <c r="W14" s="3"/>
      <c r="X14" s="3"/>
      <c r="Y14" s="3"/>
      <c r="Z14" s="3"/>
    </row>
    <row r="15" spans="1:26" ht="12" customHeight="1" x14ac:dyDescent="0.3">
      <c r="A15" s="4"/>
      <c r="B15" s="3"/>
      <c r="C15" s="203"/>
      <c r="D15" s="204"/>
      <c r="E15" s="204"/>
      <c r="F15" s="204"/>
      <c r="G15" s="204"/>
      <c r="H15" s="204"/>
      <c r="I15" s="205"/>
      <c r="J15" s="3"/>
      <c r="K15" s="203"/>
      <c r="L15" s="204"/>
      <c r="M15" s="205"/>
      <c r="N15" s="3"/>
      <c r="O15" s="4"/>
      <c r="P15" s="3"/>
      <c r="Q15" s="3"/>
      <c r="R15" s="3"/>
      <c r="S15" s="3"/>
      <c r="T15" s="3"/>
      <c r="U15" s="3"/>
      <c r="V15" s="3"/>
      <c r="W15" s="3"/>
      <c r="X15" s="3"/>
      <c r="Y15" s="3"/>
      <c r="Z15" s="3"/>
    </row>
    <row r="16" spans="1:26" ht="12" customHeight="1" x14ac:dyDescent="0.3">
      <c r="A16" s="4"/>
      <c r="B16" s="3"/>
      <c r="C16" s="203"/>
      <c r="D16" s="204"/>
      <c r="E16" s="204"/>
      <c r="F16" s="204"/>
      <c r="G16" s="204"/>
      <c r="H16" s="204"/>
      <c r="I16" s="205"/>
      <c r="J16" s="3"/>
      <c r="K16" s="203"/>
      <c r="L16" s="204"/>
      <c r="M16" s="205"/>
      <c r="N16" s="3"/>
      <c r="O16" s="4"/>
      <c r="P16" s="3"/>
      <c r="Q16" s="3"/>
      <c r="R16" s="3"/>
      <c r="S16" s="3"/>
      <c r="T16" s="3"/>
      <c r="U16" s="3"/>
      <c r="V16" s="3"/>
      <c r="W16" s="3"/>
      <c r="X16" s="3"/>
      <c r="Y16" s="3"/>
      <c r="Z16" s="3"/>
    </row>
    <row r="17" spans="1:26" ht="12" customHeight="1" x14ac:dyDescent="0.3">
      <c r="A17" s="4"/>
      <c r="B17" s="3"/>
      <c r="C17" s="203"/>
      <c r="D17" s="204"/>
      <c r="E17" s="204"/>
      <c r="F17" s="204"/>
      <c r="G17" s="204"/>
      <c r="H17" s="204"/>
      <c r="I17" s="205"/>
      <c r="J17" s="3"/>
      <c r="K17" s="203"/>
      <c r="L17" s="204"/>
      <c r="M17" s="205"/>
      <c r="N17" s="3"/>
      <c r="O17" s="4"/>
      <c r="P17" s="3"/>
      <c r="Q17" s="3"/>
      <c r="R17" s="3"/>
      <c r="S17" s="3"/>
      <c r="T17" s="3"/>
      <c r="U17" s="3"/>
      <c r="V17" s="3"/>
      <c r="W17" s="3"/>
      <c r="X17" s="3"/>
      <c r="Y17" s="3"/>
      <c r="Z17" s="3"/>
    </row>
    <row r="18" spans="1:26" ht="12" customHeight="1" x14ac:dyDescent="0.3">
      <c r="A18" s="4"/>
      <c r="B18" s="3"/>
      <c r="C18" s="203"/>
      <c r="D18" s="204"/>
      <c r="E18" s="204"/>
      <c r="F18" s="204"/>
      <c r="G18" s="204"/>
      <c r="H18" s="204"/>
      <c r="I18" s="205"/>
      <c r="J18" s="3"/>
      <c r="K18" s="203"/>
      <c r="L18" s="204"/>
      <c r="M18" s="205"/>
      <c r="N18" s="3"/>
      <c r="O18" s="4"/>
      <c r="P18" s="3"/>
      <c r="Q18" s="3"/>
      <c r="R18" s="3"/>
      <c r="S18" s="3"/>
      <c r="T18" s="3"/>
      <c r="U18" s="3"/>
      <c r="V18" s="3"/>
      <c r="W18" s="3"/>
      <c r="X18" s="3"/>
      <c r="Y18" s="3"/>
      <c r="Z18" s="3"/>
    </row>
    <row r="19" spans="1:26" ht="12" customHeight="1" x14ac:dyDescent="0.3">
      <c r="A19" s="4"/>
      <c r="B19" s="3"/>
      <c r="C19" s="203"/>
      <c r="D19" s="204"/>
      <c r="E19" s="204"/>
      <c r="F19" s="204"/>
      <c r="G19" s="204"/>
      <c r="H19" s="204"/>
      <c r="I19" s="205"/>
      <c r="J19" s="3"/>
      <c r="K19" s="203"/>
      <c r="L19" s="204"/>
      <c r="M19" s="205"/>
      <c r="N19" s="3"/>
      <c r="O19" s="4"/>
      <c r="P19" s="3"/>
      <c r="Q19" s="3"/>
      <c r="R19" s="3"/>
      <c r="S19" s="3"/>
      <c r="T19" s="3"/>
      <c r="U19" s="3"/>
      <c r="V19" s="3"/>
      <c r="W19" s="3"/>
      <c r="X19" s="3"/>
      <c r="Y19" s="3"/>
      <c r="Z19" s="3"/>
    </row>
    <row r="20" spans="1:26" ht="12" customHeight="1" x14ac:dyDescent="0.3">
      <c r="A20" s="4"/>
      <c r="B20" s="3"/>
      <c r="C20" s="203"/>
      <c r="D20" s="204"/>
      <c r="E20" s="204"/>
      <c r="F20" s="204"/>
      <c r="G20" s="204"/>
      <c r="H20" s="204"/>
      <c r="I20" s="205"/>
      <c r="J20" s="3"/>
      <c r="K20" s="203"/>
      <c r="L20" s="204"/>
      <c r="M20" s="205"/>
      <c r="N20" s="3"/>
      <c r="O20" s="4"/>
      <c r="P20" s="3"/>
      <c r="Q20" s="3"/>
      <c r="R20" s="3"/>
      <c r="S20" s="3"/>
      <c r="T20" s="3"/>
      <c r="U20" s="3"/>
      <c r="V20" s="3"/>
      <c r="W20" s="3"/>
      <c r="X20" s="3"/>
      <c r="Y20" s="3"/>
      <c r="Z20" s="3"/>
    </row>
    <row r="21" spans="1:26" ht="12" customHeight="1" x14ac:dyDescent="0.3">
      <c r="A21" s="4"/>
      <c r="B21" s="3"/>
      <c r="C21" s="203"/>
      <c r="D21" s="204"/>
      <c r="E21" s="204"/>
      <c r="F21" s="204"/>
      <c r="G21" s="204"/>
      <c r="H21" s="204"/>
      <c r="I21" s="205"/>
      <c r="J21" s="3"/>
      <c r="K21" s="203"/>
      <c r="L21" s="204"/>
      <c r="M21" s="205"/>
      <c r="N21" s="3"/>
      <c r="O21" s="4"/>
      <c r="P21" s="3"/>
      <c r="Q21" s="3"/>
      <c r="R21" s="3"/>
      <c r="S21" s="3"/>
      <c r="T21" s="3"/>
      <c r="U21" s="3"/>
      <c r="V21" s="3"/>
      <c r="W21" s="3"/>
      <c r="X21" s="3"/>
      <c r="Y21" s="3"/>
      <c r="Z21" s="3"/>
    </row>
    <row r="22" spans="1:26" ht="12" customHeight="1" x14ac:dyDescent="0.3">
      <c r="A22" s="4"/>
      <c r="B22" s="3"/>
      <c r="C22" s="203"/>
      <c r="D22" s="204"/>
      <c r="E22" s="204"/>
      <c r="F22" s="204"/>
      <c r="G22" s="204"/>
      <c r="H22" s="204"/>
      <c r="I22" s="205"/>
      <c r="J22" s="3"/>
      <c r="K22" s="203"/>
      <c r="L22" s="204"/>
      <c r="M22" s="205"/>
      <c r="N22" s="3"/>
      <c r="O22" s="4"/>
      <c r="P22" s="3"/>
      <c r="Q22" s="3"/>
      <c r="R22" s="3"/>
      <c r="S22" s="3"/>
      <c r="T22" s="3"/>
      <c r="U22" s="3"/>
      <c r="V22" s="3"/>
      <c r="W22" s="3"/>
      <c r="X22" s="3"/>
      <c r="Y22" s="3"/>
      <c r="Z22" s="3"/>
    </row>
    <row r="23" spans="1:26" ht="12" customHeight="1" x14ac:dyDescent="0.3">
      <c r="A23" s="4"/>
      <c r="B23" s="3"/>
      <c r="C23" s="203"/>
      <c r="D23" s="204"/>
      <c r="E23" s="204"/>
      <c r="F23" s="204"/>
      <c r="G23" s="204"/>
      <c r="H23" s="204"/>
      <c r="I23" s="205"/>
      <c r="J23" s="3"/>
      <c r="K23" s="203"/>
      <c r="L23" s="204"/>
      <c r="M23" s="205"/>
      <c r="N23" s="3"/>
      <c r="O23" s="4"/>
      <c r="P23" s="3"/>
      <c r="Q23" s="3"/>
      <c r="R23" s="3"/>
      <c r="S23" s="3"/>
      <c r="T23" s="3"/>
      <c r="U23" s="3"/>
      <c r="V23" s="3"/>
      <c r="W23" s="3"/>
      <c r="X23" s="3"/>
      <c r="Y23" s="3"/>
      <c r="Z23" s="3"/>
    </row>
    <row r="24" spans="1:26" ht="12" customHeight="1" x14ac:dyDescent="0.3">
      <c r="A24" s="4"/>
      <c r="B24" s="3"/>
      <c r="C24" s="203"/>
      <c r="D24" s="204"/>
      <c r="E24" s="204"/>
      <c r="F24" s="204"/>
      <c r="G24" s="204"/>
      <c r="H24" s="204"/>
      <c r="I24" s="205"/>
      <c r="J24" s="3"/>
      <c r="K24" s="203"/>
      <c r="L24" s="204"/>
      <c r="M24" s="205"/>
      <c r="N24" s="3"/>
      <c r="O24" s="4"/>
      <c r="P24" s="3"/>
      <c r="Q24" s="3"/>
      <c r="R24" s="3"/>
      <c r="S24" s="3"/>
      <c r="T24" s="3"/>
      <c r="U24" s="3"/>
      <c r="V24" s="3"/>
      <c r="W24" s="3"/>
      <c r="X24" s="3"/>
      <c r="Y24" s="3"/>
      <c r="Z24" s="3"/>
    </row>
    <row r="25" spans="1:26" ht="12" customHeight="1" x14ac:dyDescent="0.3">
      <c r="A25" s="4"/>
      <c r="B25" s="3"/>
      <c r="C25" s="203"/>
      <c r="D25" s="204"/>
      <c r="E25" s="204"/>
      <c r="F25" s="204"/>
      <c r="G25" s="204"/>
      <c r="H25" s="204"/>
      <c r="I25" s="205"/>
      <c r="J25" s="3"/>
      <c r="K25" s="203"/>
      <c r="L25" s="204"/>
      <c r="M25" s="205"/>
      <c r="N25" s="3"/>
      <c r="O25" s="4"/>
      <c r="P25" s="3"/>
      <c r="Q25" s="3"/>
      <c r="R25" s="3"/>
      <c r="S25" s="3"/>
      <c r="T25" s="3"/>
      <c r="U25" s="3"/>
      <c r="V25" s="3"/>
      <c r="W25" s="3"/>
      <c r="X25" s="3"/>
      <c r="Y25" s="3"/>
      <c r="Z25" s="3"/>
    </row>
    <row r="26" spans="1:26" ht="12" customHeight="1" x14ac:dyDescent="0.3">
      <c r="A26" s="4"/>
      <c r="B26" s="3"/>
      <c r="C26" s="203"/>
      <c r="D26" s="204"/>
      <c r="E26" s="204"/>
      <c r="F26" s="204"/>
      <c r="G26" s="204"/>
      <c r="H26" s="204"/>
      <c r="I26" s="205"/>
      <c r="J26" s="3"/>
      <c r="K26" s="203"/>
      <c r="L26" s="204"/>
      <c r="M26" s="205"/>
      <c r="N26" s="3"/>
      <c r="O26" s="4"/>
      <c r="P26" s="3"/>
      <c r="Q26" s="3"/>
      <c r="R26" s="3"/>
      <c r="S26" s="3"/>
      <c r="T26" s="3"/>
      <c r="U26" s="3"/>
      <c r="V26" s="3"/>
      <c r="W26" s="3"/>
      <c r="X26" s="3"/>
      <c r="Y26" s="3"/>
      <c r="Z26" s="3"/>
    </row>
    <row r="27" spans="1:26" ht="12" customHeight="1" x14ac:dyDescent="0.3">
      <c r="A27" s="4"/>
      <c r="B27" s="3"/>
      <c r="C27" s="203"/>
      <c r="D27" s="204"/>
      <c r="E27" s="204"/>
      <c r="F27" s="204"/>
      <c r="G27" s="204"/>
      <c r="H27" s="204"/>
      <c r="I27" s="205"/>
      <c r="J27" s="3"/>
      <c r="K27" s="203"/>
      <c r="L27" s="204"/>
      <c r="M27" s="205"/>
      <c r="N27" s="3"/>
      <c r="O27" s="4"/>
      <c r="P27" s="3"/>
      <c r="Q27" s="3"/>
      <c r="R27" s="3"/>
      <c r="S27" s="3"/>
      <c r="T27" s="3"/>
      <c r="U27" s="3"/>
      <c r="V27" s="3"/>
      <c r="W27" s="3"/>
      <c r="X27" s="3"/>
      <c r="Y27" s="3"/>
      <c r="Z27" s="3"/>
    </row>
    <row r="28" spans="1:26" ht="12" customHeight="1" x14ac:dyDescent="0.3">
      <c r="A28" s="4"/>
      <c r="B28" s="3"/>
      <c r="C28" s="203"/>
      <c r="D28" s="204"/>
      <c r="E28" s="204"/>
      <c r="F28" s="204"/>
      <c r="G28" s="204"/>
      <c r="H28" s="204"/>
      <c r="I28" s="205"/>
      <c r="J28" s="3"/>
      <c r="K28" s="203"/>
      <c r="L28" s="204"/>
      <c r="M28" s="205"/>
      <c r="N28" s="3"/>
      <c r="O28" s="4"/>
      <c r="P28" s="3"/>
      <c r="Q28" s="3"/>
      <c r="R28" s="3"/>
      <c r="S28" s="3"/>
      <c r="T28" s="3"/>
      <c r="U28" s="3"/>
      <c r="V28" s="3"/>
      <c r="W28" s="3"/>
      <c r="X28" s="3"/>
      <c r="Y28" s="3"/>
      <c r="Z28" s="3"/>
    </row>
    <row r="29" spans="1:26" ht="12" customHeight="1" x14ac:dyDescent="0.3">
      <c r="A29" s="4"/>
      <c r="B29" s="3"/>
      <c r="C29" s="203"/>
      <c r="D29" s="204"/>
      <c r="E29" s="204"/>
      <c r="F29" s="204"/>
      <c r="G29" s="204"/>
      <c r="H29" s="204"/>
      <c r="I29" s="205"/>
      <c r="J29" s="3"/>
      <c r="K29" s="203"/>
      <c r="L29" s="204"/>
      <c r="M29" s="205"/>
      <c r="N29" s="3"/>
      <c r="O29" s="4"/>
      <c r="P29" s="3"/>
      <c r="Q29" s="3"/>
      <c r="R29" s="3"/>
      <c r="S29" s="3"/>
      <c r="T29" s="3"/>
      <c r="U29" s="3"/>
      <c r="V29" s="3"/>
      <c r="W29" s="3"/>
      <c r="X29" s="3"/>
      <c r="Y29" s="3"/>
      <c r="Z29" s="3"/>
    </row>
    <row r="30" spans="1:26" ht="12" customHeight="1" x14ac:dyDescent="0.3">
      <c r="A30" s="4"/>
      <c r="B30" s="3"/>
      <c r="C30" s="203"/>
      <c r="D30" s="204"/>
      <c r="E30" s="204"/>
      <c r="F30" s="204"/>
      <c r="G30" s="204"/>
      <c r="H30" s="204"/>
      <c r="I30" s="205"/>
      <c r="J30" s="3"/>
      <c r="K30" s="203"/>
      <c r="L30" s="204"/>
      <c r="M30" s="205"/>
      <c r="N30" s="3"/>
      <c r="O30" s="4"/>
      <c r="P30" s="3"/>
      <c r="Q30" s="3"/>
      <c r="R30" s="3"/>
      <c r="S30" s="3"/>
      <c r="T30" s="3"/>
      <c r="U30" s="3"/>
      <c r="V30" s="3"/>
      <c r="W30" s="3"/>
      <c r="X30" s="3"/>
      <c r="Y30" s="3"/>
      <c r="Z30" s="3"/>
    </row>
    <row r="31" spans="1:26" ht="12" customHeight="1" x14ac:dyDescent="0.3">
      <c r="A31" s="4"/>
      <c r="B31" s="3"/>
      <c r="C31" s="203"/>
      <c r="D31" s="204"/>
      <c r="E31" s="204"/>
      <c r="F31" s="204"/>
      <c r="G31" s="204"/>
      <c r="H31" s="204"/>
      <c r="I31" s="205"/>
      <c r="J31" s="3"/>
      <c r="K31" s="203"/>
      <c r="L31" s="204"/>
      <c r="M31" s="205"/>
      <c r="N31" s="3"/>
      <c r="O31" s="4"/>
      <c r="P31" s="3"/>
      <c r="Q31" s="3"/>
      <c r="R31" s="3"/>
      <c r="S31" s="3"/>
      <c r="T31" s="3"/>
      <c r="U31" s="3"/>
      <c r="V31" s="3"/>
      <c r="W31" s="3"/>
      <c r="X31" s="3"/>
      <c r="Y31" s="3"/>
      <c r="Z31" s="3"/>
    </row>
    <row r="32" spans="1:26" ht="12" customHeight="1" x14ac:dyDescent="0.3">
      <c r="A32" s="4"/>
      <c r="B32" s="3"/>
      <c r="C32" s="206"/>
      <c r="D32" s="207"/>
      <c r="E32" s="207"/>
      <c r="F32" s="207"/>
      <c r="G32" s="207"/>
      <c r="H32" s="207"/>
      <c r="I32" s="208"/>
      <c r="J32" s="3"/>
      <c r="K32" s="206"/>
      <c r="L32" s="207"/>
      <c r="M32" s="208"/>
      <c r="N32" s="3"/>
      <c r="O32" s="4"/>
      <c r="P32" s="3"/>
      <c r="Q32" s="3"/>
      <c r="R32" s="3"/>
      <c r="S32" s="3"/>
      <c r="T32" s="3"/>
      <c r="U32" s="3"/>
      <c r="V32" s="3"/>
      <c r="W32" s="3"/>
      <c r="X32" s="3"/>
      <c r="Y32" s="3"/>
      <c r="Z32" s="3"/>
    </row>
    <row r="33" spans="1:26" ht="12" customHeight="1" x14ac:dyDescent="0.3">
      <c r="A33" s="4"/>
      <c r="B33" s="3"/>
      <c r="C33" s="3"/>
      <c r="D33" s="3"/>
      <c r="E33" s="3"/>
      <c r="F33" s="3"/>
      <c r="G33" s="3"/>
      <c r="H33" s="3"/>
      <c r="I33" s="3"/>
      <c r="J33" s="3"/>
      <c r="K33" s="3"/>
      <c r="L33" s="3"/>
      <c r="M33" s="3"/>
      <c r="N33" s="3"/>
      <c r="O33" s="4"/>
      <c r="P33" s="3"/>
      <c r="Q33" s="3"/>
      <c r="R33" s="3"/>
      <c r="S33" s="3"/>
      <c r="T33" s="3"/>
      <c r="U33" s="3"/>
      <c r="V33" s="3"/>
      <c r="W33" s="3"/>
      <c r="X33" s="3"/>
      <c r="Y33" s="3"/>
      <c r="Z33" s="3"/>
    </row>
    <row r="34" spans="1:26" ht="12" customHeight="1" x14ac:dyDescent="0.3">
      <c r="A34" s="4"/>
      <c r="B34" s="4"/>
      <c r="C34" s="4"/>
      <c r="D34" s="4"/>
      <c r="E34" s="4"/>
      <c r="F34" s="4"/>
      <c r="G34" s="4"/>
      <c r="H34" s="4"/>
      <c r="I34" s="4"/>
      <c r="J34" s="4"/>
      <c r="K34" s="4"/>
      <c r="L34" s="4"/>
      <c r="M34" s="4"/>
      <c r="N34" s="4"/>
      <c r="O34" s="4"/>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O1"/>
    <mergeCell ref="C6:M6"/>
    <mergeCell ref="C8:I32"/>
    <mergeCell ref="K8:M32"/>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87"/>
  <sheetViews>
    <sheetView showGridLines="0" topLeftCell="A4" zoomScaleNormal="100" workbookViewId="0">
      <selection activeCell="E97" sqref="E97"/>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196" t="s">
        <v>4</v>
      </c>
      <c r="B1" s="197"/>
      <c r="C1" s="197"/>
      <c r="D1" s="197"/>
      <c r="E1" s="197"/>
      <c r="F1" s="197"/>
      <c r="G1" s="197"/>
      <c r="H1" s="197"/>
      <c r="I1" s="198"/>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20" t="s">
        <v>5</v>
      </c>
      <c r="B3" s="197"/>
      <c r="C3" s="197"/>
      <c r="D3" s="197"/>
      <c r="E3" s="197"/>
      <c r="F3" s="197"/>
      <c r="G3" s="197"/>
      <c r="H3" s="197"/>
      <c r="I3" s="198"/>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21" t="s">
        <v>6</v>
      </c>
      <c r="B5" s="201"/>
      <c r="C5" s="202"/>
      <c r="D5" s="6"/>
      <c r="E5" s="7"/>
      <c r="F5" s="7"/>
      <c r="G5" s="7"/>
      <c r="H5" s="7"/>
      <c r="I5" s="7"/>
      <c r="J5" s="3"/>
      <c r="K5" s="5"/>
      <c r="L5" s="5"/>
      <c r="M5" s="5"/>
      <c r="N5" s="5"/>
      <c r="O5" s="5"/>
      <c r="P5" s="5"/>
      <c r="Q5" s="5"/>
      <c r="R5" s="5"/>
      <c r="S5" s="5"/>
      <c r="T5" s="5"/>
      <c r="U5" s="3"/>
      <c r="V5" s="3"/>
      <c r="W5" s="3"/>
      <c r="X5" s="3"/>
      <c r="Y5" s="3"/>
      <c r="Z5" s="3"/>
    </row>
    <row r="6" spans="1:26" ht="31.5" customHeight="1" x14ac:dyDescent="0.3">
      <c r="A6" s="203"/>
      <c r="B6" s="204"/>
      <c r="C6" s="205"/>
      <c r="D6" s="6"/>
      <c r="E6" s="8" t="s">
        <v>258</v>
      </c>
      <c r="F6" s="7"/>
      <c r="G6" s="9" t="s">
        <v>259</v>
      </c>
      <c r="H6" s="7"/>
      <c r="I6" s="7"/>
      <c r="J6" s="3"/>
      <c r="K6" s="5"/>
      <c r="L6" s="5"/>
      <c r="M6" s="5"/>
      <c r="N6" s="5"/>
      <c r="O6" s="5"/>
      <c r="P6" s="5"/>
      <c r="Q6" s="5"/>
      <c r="R6" s="5"/>
      <c r="S6" s="5"/>
      <c r="T6" s="5"/>
      <c r="U6" s="3"/>
      <c r="V6" s="3"/>
      <c r="W6" s="3"/>
      <c r="X6" s="3"/>
      <c r="Y6" s="3"/>
      <c r="Z6" s="3"/>
    </row>
    <row r="7" spans="1:26" ht="9.75" customHeight="1" x14ac:dyDescent="0.3">
      <c r="A7" s="203"/>
      <c r="B7" s="204"/>
      <c r="C7" s="205"/>
      <c r="D7" s="6"/>
      <c r="E7" s="10"/>
      <c r="F7" s="7"/>
      <c r="G7" s="7"/>
      <c r="H7" s="7"/>
      <c r="I7" s="7"/>
      <c r="J7" s="3"/>
      <c r="K7" s="5"/>
      <c r="L7" s="5"/>
      <c r="M7" s="5"/>
      <c r="N7" s="5"/>
      <c r="O7" s="5"/>
      <c r="P7" s="5"/>
      <c r="Q7" s="5"/>
      <c r="R7" s="5"/>
      <c r="S7" s="5"/>
      <c r="T7" s="5"/>
      <c r="U7" s="3"/>
      <c r="V7" s="3"/>
      <c r="W7" s="3"/>
      <c r="X7" s="3"/>
      <c r="Y7" s="3"/>
      <c r="Z7" s="3"/>
    </row>
    <row r="8" spans="1:26" ht="31.5" customHeight="1" x14ac:dyDescent="0.3">
      <c r="A8" s="203"/>
      <c r="B8" s="204"/>
      <c r="C8" s="205"/>
      <c r="D8" s="6"/>
      <c r="E8" s="9" t="s">
        <v>201</v>
      </c>
      <c r="F8" s="7"/>
      <c r="G8" s="9" t="s">
        <v>199</v>
      </c>
      <c r="H8" s="7"/>
      <c r="I8" s="7"/>
      <c r="J8" s="3"/>
      <c r="K8" s="5"/>
      <c r="L8" s="5"/>
      <c r="M8" s="5"/>
      <c r="N8" s="5"/>
      <c r="O8" s="5"/>
      <c r="P8" s="5"/>
      <c r="Q8" s="5"/>
      <c r="R8" s="5"/>
      <c r="S8" s="5"/>
      <c r="T8" s="5"/>
      <c r="U8" s="3"/>
      <c r="V8" s="3"/>
      <c r="W8" s="3"/>
      <c r="X8" s="3"/>
      <c r="Y8" s="3"/>
      <c r="Z8" s="3"/>
    </row>
    <row r="9" spans="1:26" ht="31.5" customHeight="1" x14ac:dyDescent="0.3">
      <c r="A9" s="203"/>
      <c r="B9" s="204"/>
      <c r="C9" s="205"/>
      <c r="D9" s="6"/>
      <c r="E9" s="10"/>
      <c r="F9" s="7"/>
      <c r="G9" s="7"/>
      <c r="H9" s="7"/>
      <c r="I9" s="7"/>
      <c r="J9" s="3"/>
      <c r="K9" s="5"/>
      <c r="L9" s="5"/>
      <c r="M9" s="5"/>
      <c r="N9" s="5"/>
      <c r="O9" s="5"/>
      <c r="P9" s="5"/>
      <c r="Q9" s="5"/>
      <c r="R9" s="5"/>
      <c r="S9" s="5"/>
      <c r="T9" s="5"/>
      <c r="U9" s="3"/>
      <c r="V9" s="3"/>
      <c r="W9" s="3"/>
      <c r="X9" s="3"/>
      <c r="Y9" s="3"/>
      <c r="Z9" s="3"/>
    </row>
    <row r="10" spans="1:26" ht="31.5" customHeight="1" x14ac:dyDescent="0.3">
      <c r="A10" s="203"/>
      <c r="B10" s="204"/>
      <c r="C10" s="205"/>
      <c r="D10" s="6"/>
      <c r="E10" s="11" t="s">
        <v>7</v>
      </c>
      <c r="F10" s="7"/>
      <c r="G10" s="11" t="s">
        <v>198</v>
      </c>
      <c r="H10" s="7"/>
      <c r="I10" s="7"/>
      <c r="J10" s="3"/>
      <c r="K10" s="5"/>
      <c r="L10" s="5"/>
      <c r="M10" s="5"/>
      <c r="N10" s="5"/>
      <c r="O10" s="5"/>
      <c r="P10" s="5"/>
      <c r="Q10" s="5"/>
      <c r="R10" s="5"/>
      <c r="S10" s="5"/>
      <c r="T10" s="5"/>
      <c r="U10" s="3"/>
      <c r="V10" s="3"/>
      <c r="W10" s="3"/>
      <c r="X10" s="3"/>
      <c r="Y10" s="3"/>
      <c r="Z10" s="3"/>
    </row>
    <row r="11" spans="1:26" ht="9.75" customHeight="1" x14ac:dyDescent="0.3">
      <c r="A11" s="203"/>
      <c r="B11" s="204"/>
      <c r="C11" s="205"/>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203"/>
      <c r="B12" s="204"/>
      <c r="C12" s="205"/>
      <c r="D12" s="6"/>
      <c r="E12" s="9" t="s">
        <v>260</v>
      </c>
      <c r="F12" s="7"/>
      <c r="G12" s="11" t="s">
        <v>207</v>
      </c>
      <c r="H12" s="7"/>
      <c r="I12" s="7"/>
      <c r="J12" s="3"/>
      <c r="K12" s="5"/>
      <c r="L12" s="5"/>
      <c r="M12" s="5"/>
      <c r="N12" s="5"/>
      <c r="O12" s="5"/>
      <c r="P12" s="5"/>
      <c r="Q12" s="5"/>
      <c r="R12" s="5"/>
      <c r="S12" s="5"/>
      <c r="T12" s="5"/>
      <c r="U12" s="3"/>
      <c r="V12" s="3"/>
      <c r="W12" s="3"/>
      <c r="X12" s="3"/>
      <c r="Y12" s="3"/>
      <c r="Z12" s="3"/>
    </row>
    <row r="13" spans="1:26" ht="9.75" customHeight="1" x14ac:dyDescent="0.3">
      <c r="A13" s="203"/>
      <c r="B13" s="204"/>
      <c r="C13" s="205"/>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203"/>
      <c r="B14" s="204"/>
      <c r="C14" s="205"/>
      <c r="D14" s="6"/>
      <c r="E14" s="9" t="s">
        <v>261</v>
      </c>
      <c r="F14" s="7"/>
      <c r="G14" s="9" t="s">
        <v>206</v>
      </c>
      <c r="H14" s="7"/>
      <c r="I14" s="7"/>
      <c r="J14" s="3"/>
      <c r="K14" s="5"/>
      <c r="L14" s="5"/>
      <c r="M14" s="5"/>
      <c r="N14" s="5"/>
      <c r="O14" s="5"/>
      <c r="P14" s="5"/>
      <c r="Q14" s="5"/>
      <c r="R14" s="5"/>
      <c r="S14" s="5"/>
      <c r="T14" s="5"/>
      <c r="U14" s="3"/>
      <c r="V14" s="3"/>
      <c r="W14" s="3"/>
      <c r="X14" s="3"/>
      <c r="Y14" s="3"/>
      <c r="Z14" s="3"/>
    </row>
    <row r="15" spans="1:26" ht="9.75" customHeight="1" x14ac:dyDescent="0.3">
      <c r="A15" s="203"/>
      <c r="B15" s="204"/>
      <c r="C15" s="205"/>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203"/>
      <c r="B16" s="204"/>
      <c r="C16" s="205"/>
      <c r="D16" s="6"/>
      <c r="E16" s="9" t="s">
        <v>8</v>
      </c>
      <c r="F16" s="7"/>
      <c r="G16" s="9" t="s">
        <v>9</v>
      </c>
      <c r="H16" s="7"/>
      <c r="I16" s="7"/>
      <c r="J16" s="3"/>
      <c r="K16" s="5"/>
      <c r="L16" s="5"/>
      <c r="M16" s="5"/>
      <c r="N16" s="5"/>
      <c r="O16" s="5"/>
      <c r="P16" s="5"/>
      <c r="Q16" s="5"/>
      <c r="R16" s="5"/>
      <c r="S16" s="5"/>
      <c r="T16" s="5"/>
      <c r="U16" s="3"/>
      <c r="V16" s="3"/>
      <c r="W16" s="3"/>
      <c r="X16" s="3"/>
      <c r="Y16" s="3"/>
      <c r="Z16" s="3"/>
    </row>
    <row r="17" spans="1:26" ht="9.75" customHeight="1" x14ac:dyDescent="0.3">
      <c r="A17" s="206"/>
      <c r="B17" s="207"/>
      <c r="C17" s="208"/>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196" t="s">
        <v>10</v>
      </c>
      <c r="B19" s="197"/>
      <c r="C19" s="197"/>
      <c r="D19" s="197"/>
      <c r="E19" s="197"/>
      <c r="F19" s="197"/>
      <c r="G19" s="197"/>
      <c r="H19" s="197"/>
      <c r="I19" s="198"/>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22" t="s">
        <v>11</v>
      </c>
      <c r="D21" s="197"/>
      <c r="E21" s="197"/>
      <c r="F21" s="197"/>
      <c r="G21" s="198"/>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23" t="s">
        <v>12</v>
      </c>
      <c r="D22" s="224"/>
      <c r="E22" s="224"/>
      <c r="F22" s="224"/>
      <c r="G22" s="225"/>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26" t="s">
        <v>235</v>
      </c>
      <c r="D24" s="227"/>
      <c r="E24" s="227"/>
      <c r="F24" s="227"/>
      <c r="G24" s="228"/>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29"/>
      <c r="D25" s="230"/>
      <c r="E25" s="230"/>
      <c r="F25" s="230"/>
      <c r="G25" s="231"/>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29"/>
      <c r="D26" s="230"/>
      <c r="E26" s="230"/>
      <c r="F26" s="230"/>
      <c r="G26" s="231"/>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29"/>
      <c r="D27" s="230"/>
      <c r="E27" s="230"/>
      <c r="F27" s="230"/>
      <c r="G27" s="231"/>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29"/>
      <c r="D28" s="230"/>
      <c r="E28" s="230"/>
      <c r="F28" s="230"/>
      <c r="G28" s="231"/>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29"/>
      <c r="D29" s="230"/>
      <c r="E29" s="230"/>
      <c r="F29" s="230"/>
      <c r="G29" s="231"/>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29"/>
      <c r="D30" s="230"/>
      <c r="E30" s="230"/>
      <c r="F30" s="230"/>
      <c r="G30" s="231"/>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29"/>
      <c r="D31" s="230"/>
      <c r="E31" s="230"/>
      <c r="F31" s="230"/>
      <c r="G31" s="231"/>
      <c r="H31" s="3"/>
      <c r="I31" s="15"/>
      <c r="J31" s="3"/>
      <c r="K31" s="5"/>
      <c r="L31" s="5"/>
      <c r="M31" s="5"/>
      <c r="N31" s="5"/>
      <c r="O31" s="5"/>
      <c r="P31" s="5"/>
      <c r="Q31" s="5"/>
      <c r="R31" s="5"/>
      <c r="S31" s="5"/>
      <c r="T31" s="5"/>
      <c r="U31" s="3"/>
      <c r="V31" s="3"/>
      <c r="W31" s="3"/>
      <c r="X31" s="3"/>
      <c r="Y31" s="3"/>
      <c r="Z31" s="3"/>
    </row>
    <row r="32" spans="1:26" ht="147" customHeight="1" x14ac:dyDescent="0.3">
      <c r="A32" s="15" t="s">
        <v>13</v>
      </c>
      <c r="B32" s="3"/>
      <c r="C32" s="232"/>
      <c r="D32" s="233"/>
      <c r="E32" s="233"/>
      <c r="F32" s="233"/>
      <c r="G32" s="234"/>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216" t="s">
        <v>14</v>
      </c>
      <c r="L35" s="217"/>
      <c r="M35" s="217"/>
      <c r="N35" s="217"/>
      <c r="O35" s="217"/>
      <c r="P35" s="217"/>
      <c r="Q35" s="217"/>
      <c r="R35" s="218"/>
      <c r="S35" s="5"/>
      <c r="T35" s="5"/>
      <c r="U35" s="3"/>
      <c r="V35" s="3"/>
      <c r="W35" s="3"/>
      <c r="X35" s="3"/>
      <c r="Y35" s="3"/>
      <c r="Z35" s="3"/>
    </row>
    <row r="36" spans="1:26" ht="39.75" customHeight="1" x14ac:dyDescent="0.3">
      <c r="A36" s="219" t="s">
        <v>15</v>
      </c>
      <c r="B36" s="197"/>
      <c r="C36" s="197"/>
      <c r="D36" s="197"/>
      <c r="E36" s="197"/>
      <c r="F36" s="197"/>
      <c r="G36" s="197"/>
      <c r="H36" s="197"/>
      <c r="I36" s="198"/>
      <c r="J36" s="3"/>
      <c r="K36" s="17"/>
      <c r="L36" s="18" t="s">
        <v>16</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
        <v>236</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214" t="s">
        <v>17</v>
      </c>
      <c r="D40" s="215"/>
      <c r="E40" s="24" t="s">
        <v>18</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213" t="s">
        <v>19</v>
      </c>
      <c r="D41" s="210"/>
      <c r="E41" s="25" t="s">
        <v>144</v>
      </c>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209" t="s">
        <v>20</v>
      </c>
      <c r="D42" s="210"/>
      <c r="E42" s="26" t="s">
        <v>142</v>
      </c>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213" t="s">
        <v>21</v>
      </c>
      <c r="D43" s="210"/>
      <c r="E43" s="25" t="s">
        <v>140</v>
      </c>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209" t="s">
        <v>22</v>
      </c>
      <c r="D44" s="210"/>
      <c r="E44" s="26" t="s">
        <v>144</v>
      </c>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213" t="s">
        <v>23</v>
      </c>
      <c r="D45" s="210"/>
      <c r="E45" s="25" t="s">
        <v>140</v>
      </c>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209" t="s">
        <v>24</v>
      </c>
      <c r="D46" s="210"/>
      <c r="E46" s="26" t="s">
        <v>144</v>
      </c>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213" t="s">
        <v>25</v>
      </c>
      <c r="D47" s="210"/>
      <c r="E47" s="25" t="s">
        <v>140</v>
      </c>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209" t="s">
        <v>26</v>
      </c>
      <c r="D48" s="210"/>
      <c r="E48" s="26" t="s">
        <v>140</v>
      </c>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213" t="s">
        <v>27</v>
      </c>
      <c r="D49" s="210"/>
      <c r="E49" s="25" t="s">
        <v>144</v>
      </c>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209" t="s">
        <v>28</v>
      </c>
      <c r="D50" s="210"/>
      <c r="E50" s="26" t="s">
        <v>142</v>
      </c>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211" t="s">
        <v>29</v>
      </c>
      <c r="D51" s="212"/>
      <c r="E51" s="27" t="s">
        <v>142</v>
      </c>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67" t="s">
        <v>263</v>
      </c>
      <c r="D53" s="3"/>
      <c r="E53" s="3"/>
      <c r="F53" s="3"/>
      <c r="G53" s="3"/>
      <c r="H53" s="3"/>
      <c r="I53" s="3"/>
      <c r="J53" s="3"/>
      <c r="K53" s="5"/>
      <c r="L53" s="5"/>
      <c r="M53" s="5"/>
      <c r="N53" s="5"/>
      <c r="O53" s="5"/>
      <c r="P53" s="5"/>
      <c r="Q53" s="5"/>
      <c r="R53" s="5"/>
      <c r="S53" s="5"/>
      <c r="T53" s="5"/>
      <c r="U53" s="3"/>
      <c r="V53" s="3"/>
      <c r="W53" s="3"/>
      <c r="X53" s="3"/>
      <c r="Y53" s="3"/>
      <c r="Z53" s="3"/>
    </row>
    <row r="54" spans="1:26" ht="18.75" customHeight="1" x14ac:dyDescent="0.3">
      <c r="A54" s="3"/>
      <c r="B54" s="3"/>
      <c r="C54" s="214" t="s">
        <v>17</v>
      </c>
      <c r="D54" s="215"/>
      <c r="E54" s="24" t="s">
        <v>18</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213" t="s">
        <v>19</v>
      </c>
      <c r="D55" s="210"/>
      <c r="E55" s="25" t="s">
        <v>142</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209" t="s">
        <v>20</v>
      </c>
      <c r="D56" s="210"/>
      <c r="E56" s="26" t="s">
        <v>140</v>
      </c>
      <c r="F56" s="3"/>
      <c r="G56" s="3"/>
      <c r="H56" s="3"/>
      <c r="I56" s="3"/>
      <c r="J56" s="3"/>
      <c r="K56" s="5"/>
      <c r="L56" s="5"/>
      <c r="M56" s="5"/>
      <c r="N56" s="5"/>
      <c r="O56" s="5"/>
      <c r="P56" s="5"/>
      <c r="Q56" s="5"/>
      <c r="R56" s="5"/>
      <c r="S56" s="5"/>
      <c r="T56" s="5"/>
      <c r="U56" s="3"/>
      <c r="V56" s="3"/>
      <c r="W56" s="3"/>
      <c r="X56" s="3"/>
      <c r="Y56" s="3"/>
      <c r="Z56" s="3"/>
    </row>
    <row r="57" spans="1:26" ht="13.5" customHeight="1" x14ac:dyDescent="0.3">
      <c r="A57" s="3"/>
      <c r="B57" s="3"/>
      <c r="C57" s="213" t="s">
        <v>21</v>
      </c>
      <c r="D57" s="210"/>
      <c r="E57" s="25" t="s">
        <v>140</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209" t="s">
        <v>22</v>
      </c>
      <c r="D58" s="210"/>
      <c r="E58" s="26" t="s">
        <v>140</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213" t="s">
        <v>23</v>
      </c>
      <c r="D59" s="210"/>
      <c r="E59" s="25" t="s">
        <v>140</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209" t="s">
        <v>24</v>
      </c>
      <c r="D60" s="210"/>
      <c r="E60" s="26" t="s">
        <v>144</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213" t="s">
        <v>25</v>
      </c>
      <c r="D61" s="210"/>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209" t="s">
        <v>26</v>
      </c>
      <c r="D62" s="210"/>
      <c r="E62" s="26" t="s">
        <v>140</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213" t="s">
        <v>27</v>
      </c>
      <c r="D63" s="210"/>
      <c r="E63" s="25" t="s">
        <v>140</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209" t="s">
        <v>28</v>
      </c>
      <c r="D64" s="210"/>
      <c r="E64" s="26" t="s">
        <v>140</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211" t="s">
        <v>29</v>
      </c>
      <c r="D65" s="212"/>
      <c r="E65" s="27" t="s">
        <v>140</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67"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6.5" customHeight="1" x14ac:dyDescent="0.3">
      <c r="A68" s="3"/>
      <c r="B68" s="3"/>
      <c r="C68" s="214" t="s">
        <v>17</v>
      </c>
      <c r="D68" s="215"/>
      <c r="E68" s="24" t="s">
        <v>18</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213" t="s">
        <v>19</v>
      </c>
      <c r="D69" s="210"/>
      <c r="E69" s="25" t="s">
        <v>140</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209" t="s">
        <v>20</v>
      </c>
      <c r="D70" s="210"/>
      <c r="E70" s="26" t="s">
        <v>140</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213" t="s">
        <v>21</v>
      </c>
      <c r="D71" s="210"/>
      <c r="E71" s="25" t="s">
        <v>140</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209" t="s">
        <v>22</v>
      </c>
      <c r="D72" s="210"/>
      <c r="E72" s="26" t="s">
        <v>142</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213" t="s">
        <v>23</v>
      </c>
      <c r="D73" s="210"/>
      <c r="E73" s="25" t="s">
        <v>140</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209" t="s">
        <v>24</v>
      </c>
      <c r="D74" s="210"/>
      <c r="E74" s="26" t="s">
        <v>142</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213" t="s">
        <v>25</v>
      </c>
      <c r="D75" s="210"/>
      <c r="E75" s="25" t="s">
        <v>142</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209" t="s">
        <v>26</v>
      </c>
      <c r="D76" s="210"/>
      <c r="E76" s="26" t="s">
        <v>140</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213" t="s">
        <v>27</v>
      </c>
      <c r="D77" s="210"/>
      <c r="E77" s="25" t="s">
        <v>142</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209" t="s">
        <v>28</v>
      </c>
      <c r="D78" s="210"/>
      <c r="E78" s="26" t="s">
        <v>142</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211" t="s">
        <v>29</v>
      </c>
      <c r="D79" s="212"/>
      <c r="E79" s="27" t="s">
        <v>140</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27" customHeight="1" thickBot="1" x14ac:dyDescent="0.35">
      <c r="A81" s="3"/>
      <c r="B81" s="3"/>
      <c r="C81" s="167" t="s">
        <v>83</v>
      </c>
      <c r="D81" s="3"/>
      <c r="E81" s="3"/>
      <c r="F81" s="3"/>
      <c r="G81" s="3"/>
      <c r="H81" s="3"/>
      <c r="I81" s="3"/>
      <c r="J81" s="3"/>
      <c r="K81" s="5"/>
      <c r="L81" s="5"/>
      <c r="M81" s="5"/>
      <c r="N81" s="5"/>
      <c r="O81" s="5"/>
      <c r="P81" s="5"/>
      <c r="Q81" s="5"/>
      <c r="R81" s="5"/>
      <c r="S81" s="5"/>
      <c r="T81" s="5"/>
      <c r="U81" s="3"/>
      <c r="V81" s="3"/>
      <c r="W81" s="3"/>
      <c r="X81" s="3"/>
      <c r="Y81" s="3"/>
      <c r="Z81" s="3"/>
    </row>
    <row r="82" spans="1:26" ht="16.5" customHeight="1" x14ac:dyDescent="0.3">
      <c r="A82" s="3"/>
      <c r="B82" s="3"/>
      <c r="C82" s="214" t="s">
        <v>17</v>
      </c>
      <c r="D82" s="215"/>
      <c r="E82" s="24" t="s">
        <v>18</v>
      </c>
      <c r="F82" s="3"/>
      <c r="G82" s="3"/>
      <c r="H82" s="3"/>
      <c r="I82" s="3"/>
      <c r="J82" s="3"/>
      <c r="K82" s="5"/>
      <c r="L82" s="5"/>
      <c r="M82" s="5"/>
      <c r="N82" s="5"/>
      <c r="O82" s="5"/>
      <c r="P82" s="5"/>
      <c r="Q82" s="5"/>
      <c r="R82" s="5"/>
      <c r="S82" s="5"/>
      <c r="T82" s="5"/>
      <c r="U82" s="3"/>
      <c r="V82" s="3"/>
      <c r="W82" s="3"/>
      <c r="X82" s="3"/>
      <c r="Y82" s="3"/>
      <c r="Z82" s="3"/>
    </row>
    <row r="83" spans="1:26" ht="14.25" customHeight="1" x14ac:dyDescent="0.3">
      <c r="A83" s="3"/>
      <c r="B83" s="3"/>
      <c r="C83" s="213" t="s">
        <v>19</v>
      </c>
      <c r="D83" s="210"/>
      <c r="E83" s="25" t="s">
        <v>142</v>
      </c>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209" t="s">
        <v>20</v>
      </c>
      <c r="D84" s="210"/>
      <c r="E84" s="26" t="s">
        <v>140</v>
      </c>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213" t="s">
        <v>21</v>
      </c>
      <c r="D85" s="210"/>
      <c r="E85" s="25" t="s">
        <v>140</v>
      </c>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209" t="s">
        <v>22</v>
      </c>
      <c r="D86" s="210"/>
      <c r="E86" s="26" t="s">
        <v>140</v>
      </c>
      <c r="F86" s="3"/>
      <c r="G86" s="3"/>
      <c r="H86" s="3"/>
      <c r="I86" s="3"/>
      <c r="J86" s="3"/>
      <c r="K86" s="5"/>
      <c r="L86" s="5"/>
      <c r="M86" s="5"/>
      <c r="N86" s="5"/>
      <c r="O86" s="5"/>
      <c r="P86" s="5"/>
      <c r="Q86" s="5"/>
      <c r="R86" s="5"/>
      <c r="S86" s="5"/>
      <c r="T86" s="5"/>
      <c r="U86" s="3"/>
      <c r="V86" s="3"/>
      <c r="W86" s="3"/>
      <c r="X86" s="3"/>
      <c r="Y86" s="3"/>
      <c r="Z86" s="3"/>
    </row>
    <row r="87" spans="1:26" ht="14.25" customHeight="1" x14ac:dyDescent="0.3">
      <c r="A87" s="3"/>
      <c r="B87" s="3"/>
      <c r="C87" s="213" t="s">
        <v>23</v>
      </c>
      <c r="D87" s="210"/>
      <c r="E87" s="25" t="s">
        <v>140</v>
      </c>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209" t="s">
        <v>24</v>
      </c>
      <c r="D88" s="210"/>
      <c r="E88" s="26" t="s">
        <v>144</v>
      </c>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213" t="s">
        <v>25</v>
      </c>
      <c r="D89" s="210"/>
      <c r="E89" s="25" t="str">
        <f>'[1]7. Risque'!$M$39</f>
        <v>MOYENNE</v>
      </c>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209" t="s">
        <v>26</v>
      </c>
      <c r="D90" s="210"/>
      <c r="E90" s="26" t="s">
        <v>140</v>
      </c>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213" t="s">
        <v>27</v>
      </c>
      <c r="D91" s="210"/>
      <c r="E91" s="25" t="s">
        <v>140</v>
      </c>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209" t="s">
        <v>28</v>
      </c>
      <c r="D92" s="210"/>
      <c r="E92" s="26" t="s">
        <v>140</v>
      </c>
      <c r="F92" s="3"/>
      <c r="G92" s="3"/>
      <c r="H92" s="3"/>
      <c r="I92" s="3"/>
      <c r="J92" s="3"/>
      <c r="K92" s="5"/>
      <c r="L92" s="5"/>
      <c r="M92" s="5"/>
      <c r="N92" s="5"/>
      <c r="O92" s="5"/>
      <c r="P92" s="5"/>
      <c r="Q92" s="5"/>
      <c r="R92" s="5"/>
      <c r="S92" s="5"/>
      <c r="T92" s="5"/>
      <c r="U92" s="3"/>
      <c r="V92" s="3"/>
      <c r="W92" s="3"/>
      <c r="X92" s="3"/>
      <c r="Y92" s="3"/>
      <c r="Z92" s="3"/>
    </row>
    <row r="93" spans="1:26" ht="12" customHeight="1" thickBot="1" x14ac:dyDescent="0.35">
      <c r="A93" s="3"/>
      <c r="B93" s="3"/>
      <c r="C93" s="211" t="s">
        <v>29</v>
      </c>
      <c r="D93" s="212"/>
      <c r="E93" s="27" t="s">
        <v>140</v>
      </c>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sheetData>
  <mergeCells count="57">
    <mergeCell ref="C76:D76"/>
    <mergeCell ref="C77:D77"/>
    <mergeCell ref="C78:D78"/>
    <mergeCell ref="C79:D79"/>
    <mergeCell ref="C63:D63"/>
    <mergeCell ref="C64:D64"/>
    <mergeCell ref="C65:D65"/>
    <mergeCell ref="C68:D68"/>
    <mergeCell ref="C69:D69"/>
    <mergeCell ref="C70:D70"/>
    <mergeCell ref="C71:D71"/>
    <mergeCell ref="C62:D62"/>
    <mergeCell ref="C72:D72"/>
    <mergeCell ref="C73:D73"/>
    <mergeCell ref="C74:D74"/>
    <mergeCell ref="C75:D75"/>
    <mergeCell ref="C57:D57"/>
    <mergeCell ref="C58:D58"/>
    <mergeCell ref="C59:D59"/>
    <mergeCell ref="C60:D60"/>
    <mergeCell ref="C61:D61"/>
    <mergeCell ref="C50:D50"/>
    <mergeCell ref="C51:D51"/>
    <mergeCell ref="C54:D54"/>
    <mergeCell ref="C55:D55"/>
    <mergeCell ref="C56:D56"/>
    <mergeCell ref="C45:D45"/>
    <mergeCell ref="C46:D46"/>
    <mergeCell ref="C47:D47"/>
    <mergeCell ref="C48:D48"/>
    <mergeCell ref="C49:D49"/>
    <mergeCell ref="C40:D40"/>
    <mergeCell ref="C41:D41"/>
    <mergeCell ref="C42:D42"/>
    <mergeCell ref="C43:D43"/>
    <mergeCell ref="C44:D44"/>
    <mergeCell ref="K35:R35"/>
    <mergeCell ref="A36:I36"/>
    <mergeCell ref="A1:I1"/>
    <mergeCell ref="A3:I3"/>
    <mergeCell ref="A5:C17"/>
    <mergeCell ref="A19:I19"/>
    <mergeCell ref="C21:G21"/>
    <mergeCell ref="C22:G22"/>
    <mergeCell ref="C24:G32"/>
    <mergeCell ref="C82:D82"/>
    <mergeCell ref="C83:D83"/>
    <mergeCell ref="C84:D84"/>
    <mergeCell ref="C85:D85"/>
    <mergeCell ref="C86:D86"/>
    <mergeCell ref="C92:D92"/>
    <mergeCell ref="C93:D93"/>
    <mergeCell ref="C87:D87"/>
    <mergeCell ref="C88:D88"/>
    <mergeCell ref="C89:D89"/>
    <mergeCell ref="C90:D90"/>
    <mergeCell ref="C91:D91"/>
  </mergeCell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topLeftCell="A16" zoomScale="92" zoomScaleNormal="92" workbookViewId="0">
      <selection activeCell="U24" sqref="U24"/>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196" t="s">
        <v>30</v>
      </c>
      <c r="B1" s="197"/>
      <c r="C1" s="197"/>
      <c r="D1" s="197"/>
      <c r="E1" s="197"/>
      <c r="F1" s="197"/>
      <c r="G1" s="197"/>
      <c r="H1" s="197"/>
      <c r="I1" s="197"/>
      <c r="J1" s="197"/>
      <c r="K1" s="197"/>
      <c r="L1" s="197"/>
      <c r="M1" s="197"/>
      <c r="N1" s="197"/>
      <c r="O1" s="197"/>
      <c r="P1" s="197"/>
      <c r="Q1" s="197"/>
      <c r="R1" s="197"/>
      <c r="S1" s="197"/>
      <c r="T1" s="197"/>
      <c r="U1" s="197"/>
      <c r="V1" s="197"/>
      <c r="W1" s="197"/>
      <c r="X1" s="197"/>
      <c r="Y1" s="198"/>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35" t="s">
        <v>31</v>
      </c>
      <c r="B3" s="197"/>
      <c r="C3" s="197"/>
      <c r="D3" s="197"/>
      <c r="E3" s="197"/>
      <c r="F3" s="197"/>
      <c r="G3" s="197"/>
      <c r="H3" s="197"/>
      <c r="I3" s="197"/>
      <c r="J3" s="197"/>
      <c r="K3" s="197"/>
      <c r="L3" s="197"/>
      <c r="M3" s="197"/>
      <c r="N3" s="197"/>
      <c r="O3" s="197"/>
      <c r="P3" s="197"/>
      <c r="Q3" s="197"/>
      <c r="R3" s="197"/>
      <c r="S3" s="197"/>
      <c r="T3" s="197"/>
      <c r="U3" s="197"/>
      <c r="V3" s="197"/>
      <c r="W3" s="197"/>
      <c r="X3" s="197"/>
      <c r="Y3" s="198"/>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21" t="s">
        <v>6</v>
      </c>
      <c r="B5" s="201"/>
      <c r="C5" s="202"/>
      <c r="D5" s="6"/>
      <c r="E5" s="7"/>
      <c r="F5" s="7"/>
      <c r="G5" s="7"/>
      <c r="H5" s="7"/>
      <c r="I5" s="7"/>
      <c r="J5" s="7"/>
      <c r="K5" s="7"/>
      <c r="L5" s="7"/>
      <c r="M5" s="7"/>
      <c r="N5" s="7"/>
      <c r="O5" s="7"/>
      <c r="P5" s="7"/>
      <c r="Q5" s="7"/>
      <c r="R5" s="7"/>
      <c r="S5" s="7"/>
      <c r="T5" s="7"/>
      <c r="U5" s="7"/>
      <c r="V5" s="7"/>
      <c r="W5" s="7"/>
      <c r="X5" s="7"/>
      <c r="Y5" s="7"/>
      <c r="Z5" s="3"/>
    </row>
    <row r="6" spans="1:26" ht="31.5" customHeight="1" x14ac:dyDescent="0.3">
      <c r="A6" s="203"/>
      <c r="B6" s="204"/>
      <c r="C6" s="205"/>
      <c r="D6" s="6"/>
      <c r="E6" s="236" t="str">
        <f>'1. Résumé'!E6</f>
        <v>FKT 09/12 Manometinay</v>
      </c>
      <c r="F6" s="197"/>
      <c r="G6" s="197"/>
      <c r="H6" s="197"/>
      <c r="I6" s="198"/>
      <c r="J6" s="7"/>
      <c r="K6" s="237" t="s">
        <v>32</v>
      </c>
      <c r="L6" s="197"/>
      <c r="M6" s="197"/>
      <c r="N6" s="197"/>
      <c r="O6" s="198"/>
      <c r="P6" s="7"/>
      <c r="Q6" s="7"/>
      <c r="R6" s="237" t="s">
        <v>33</v>
      </c>
      <c r="S6" s="197"/>
      <c r="T6" s="197"/>
      <c r="U6" s="197"/>
      <c r="V6" s="197"/>
      <c r="W6" s="198"/>
      <c r="X6" s="7"/>
      <c r="Y6" s="7"/>
      <c r="Z6" s="3"/>
    </row>
    <row r="7" spans="1:26" ht="9.75" customHeight="1" x14ac:dyDescent="0.3">
      <c r="A7" s="206"/>
      <c r="B7" s="207"/>
      <c r="C7" s="208"/>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38" t="s">
        <v>34</v>
      </c>
      <c r="B9" s="197"/>
      <c r="C9" s="197"/>
      <c r="D9" s="197"/>
      <c r="E9" s="197"/>
      <c r="F9" s="197"/>
      <c r="G9" s="197"/>
      <c r="H9" s="197"/>
      <c r="I9" s="197"/>
      <c r="J9" s="197"/>
      <c r="K9" s="197"/>
      <c r="L9" s="197"/>
      <c r="M9" s="197"/>
      <c r="N9" s="197"/>
      <c r="O9" s="197"/>
      <c r="P9" s="197"/>
      <c r="Q9" s="197"/>
      <c r="R9" s="197"/>
      <c r="S9" s="197"/>
      <c r="T9" s="197"/>
      <c r="U9" s="197"/>
      <c r="V9" s="197"/>
      <c r="W9" s="197"/>
      <c r="X9" s="197"/>
      <c r="Y9" s="198"/>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22" t="s">
        <v>35</v>
      </c>
      <c r="D11" s="197"/>
      <c r="E11" s="197"/>
      <c r="F11" s="197"/>
      <c r="G11" s="197"/>
      <c r="H11" s="197"/>
      <c r="I11" s="197"/>
      <c r="J11" s="197"/>
      <c r="K11" s="197"/>
      <c r="L11" s="197"/>
      <c r="M11" s="197"/>
      <c r="N11" s="197"/>
      <c r="O11" s="197"/>
      <c r="P11" s="197"/>
      <c r="Q11" s="197"/>
      <c r="R11" s="197"/>
      <c r="S11" s="197"/>
      <c r="T11" s="197"/>
      <c r="U11" s="197"/>
      <c r="V11" s="197"/>
      <c r="W11" s="198"/>
      <c r="X11" s="3"/>
      <c r="Y11" s="4"/>
      <c r="Z11" s="3"/>
    </row>
    <row r="12" spans="1:26" ht="9.75" customHeight="1" x14ac:dyDescent="0.3">
      <c r="A12" s="4"/>
      <c r="B12" s="3"/>
      <c r="C12" s="3" t="s">
        <v>13</v>
      </c>
      <c r="D12" s="3"/>
      <c r="E12" s="3"/>
      <c r="F12" s="3"/>
      <c r="G12" s="3"/>
      <c r="H12" s="3" t="s">
        <v>13</v>
      </c>
      <c r="I12" s="3"/>
      <c r="J12" s="3"/>
      <c r="K12" s="3"/>
      <c r="L12" s="3"/>
      <c r="M12" s="3"/>
      <c r="N12" s="3"/>
      <c r="O12" s="3"/>
      <c r="P12" s="3"/>
      <c r="Q12" s="3"/>
      <c r="R12" s="3"/>
      <c r="S12" s="3"/>
      <c r="T12" s="3"/>
      <c r="U12" s="3"/>
      <c r="V12" s="3"/>
      <c r="W12" s="3"/>
      <c r="X12" s="3"/>
      <c r="Y12" s="4"/>
      <c r="Z12" s="3"/>
    </row>
    <row r="13" spans="1:26" ht="409.5" customHeight="1" x14ac:dyDescent="0.3">
      <c r="A13" s="4"/>
      <c r="B13" s="3"/>
      <c r="C13" s="241" t="s">
        <v>318</v>
      </c>
      <c r="D13" s="242"/>
      <c r="E13" s="242"/>
      <c r="F13" s="242"/>
      <c r="G13" s="242"/>
      <c r="H13" s="242"/>
      <c r="I13" s="242"/>
      <c r="J13" s="242"/>
      <c r="K13" s="242"/>
      <c r="L13" s="242"/>
      <c r="M13" s="242"/>
      <c r="N13" s="242"/>
      <c r="O13" s="242"/>
      <c r="P13" s="242"/>
      <c r="Q13" s="242"/>
      <c r="R13" s="242"/>
      <c r="S13" s="242"/>
      <c r="T13" s="242"/>
      <c r="U13" s="242"/>
      <c r="V13" s="242"/>
      <c r="W13" s="243"/>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44" t="s">
        <v>36</v>
      </c>
      <c r="D15" s="217"/>
      <c r="E15" s="217"/>
      <c r="F15" s="217"/>
      <c r="G15" s="217"/>
      <c r="H15" s="217"/>
      <c r="I15" s="217"/>
      <c r="J15" s="217"/>
      <c r="K15" s="217"/>
      <c r="L15" s="217"/>
      <c r="M15" s="217"/>
      <c r="N15" s="217"/>
      <c r="O15" s="217"/>
      <c r="P15" s="217"/>
      <c r="Q15" s="217"/>
      <c r="R15" s="217"/>
      <c r="S15" s="217"/>
      <c r="T15" s="217"/>
      <c r="U15" s="217"/>
      <c r="V15" s="217"/>
      <c r="W15" s="218"/>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45" t="s">
        <v>37</v>
      </c>
      <c r="D17" s="29"/>
      <c r="E17" s="247" t="s">
        <v>38</v>
      </c>
      <c r="F17" s="217"/>
      <c r="G17" s="218"/>
      <c r="H17" s="30"/>
      <c r="I17" s="239" t="s">
        <v>39</v>
      </c>
      <c r="J17" s="217"/>
      <c r="K17" s="218"/>
      <c r="L17" s="29"/>
      <c r="M17" s="239" t="s">
        <v>40</v>
      </c>
      <c r="N17" s="217"/>
      <c r="O17" s="218"/>
      <c r="P17" s="29"/>
      <c r="Q17" s="239" t="s">
        <v>41</v>
      </c>
      <c r="R17" s="217"/>
      <c r="S17" s="218"/>
      <c r="T17" s="29"/>
      <c r="U17" s="240" t="s">
        <v>42</v>
      </c>
      <c r="V17" s="217"/>
      <c r="W17" s="218"/>
      <c r="X17" s="3"/>
      <c r="Y17" s="4"/>
      <c r="Z17" s="3"/>
    </row>
    <row r="18" spans="1:26" ht="27" customHeight="1" x14ac:dyDescent="0.3">
      <c r="A18" s="4"/>
      <c r="B18" s="3"/>
      <c r="C18" s="246"/>
      <c r="D18" s="29"/>
      <c r="E18" s="31" t="s">
        <v>43</v>
      </c>
      <c r="F18" s="31" t="s">
        <v>44</v>
      </c>
      <c r="G18" s="32" t="s">
        <v>45</v>
      </c>
      <c r="H18" s="33"/>
      <c r="I18" s="31" t="s">
        <v>43</v>
      </c>
      <c r="J18" s="31" t="s">
        <v>44</v>
      </c>
      <c r="K18" s="32" t="s">
        <v>46</v>
      </c>
      <c r="L18" s="33"/>
      <c r="M18" s="31" t="s">
        <v>43</v>
      </c>
      <c r="N18" s="31" t="s">
        <v>44</v>
      </c>
      <c r="O18" s="32" t="s">
        <v>46</v>
      </c>
      <c r="P18" s="34"/>
      <c r="Q18" s="31" t="s">
        <v>43</v>
      </c>
      <c r="R18" s="31" t="s">
        <v>44</v>
      </c>
      <c r="S18" s="35" t="s">
        <v>46</v>
      </c>
      <c r="T18" s="33"/>
      <c r="U18" s="31" t="s">
        <v>43</v>
      </c>
      <c r="V18" s="31" t="s">
        <v>44</v>
      </c>
      <c r="W18" s="35" t="s">
        <v>47</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48</v>
      </c>
      <c r="D20" s="39"/>
      <c r="E20" s="397"/>
      <c r="F20" s="398"/>
      <c r="G20" s="42"/>
      <c r="H20" s="43"/>
      <c r="I20" s="397"/>
      <c r="J20" s="398"/>
      <c r="K20" s="42">
        <f>SUM(I20:J20)</f>
        <v>0</v>
      </c>
      <c r="L20" s="44"/>
      <c r="M20" s="397">
        <v>9</v>
      </c>
      <c r="N20" s="398">
        <v>9</v>
      </c>
      <c r="O20" s="42">
        <f>SUM(M20:N20)</f>
        <v>18</v>
      </c>
      <c r="P20" s="44"/>
      <c r="Q20" s="397">
        <v>1</v>
      </c>
      <c r="R20" s="398">
        <v>0</v>
      </c>
      <c r="S20" s="42">
        <f>SUM(Q20:R20)</f>
        <v>1</v>
      </c>
      <c r="T20" s="44"/>
      <c r="U20" s="397">
        <f>M20+Q20</f>
        <v>10</v>
      </c>
      <c r="V20" s="397">
        <f>N20+R20</f>
        <v>9</v>
      </c>
      <c r="W20" s="184">
        <v>780</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9" customHeight="1" x14ac:dyDescent="0.3">
      <c r="A22" s="4"/>
      <c r="B22" s="3"/>
      <c r="C22" s="46" t="s">
        <v>49</v>
      </c>
      <c r="D22" s="29"/>
      <c r="E22" s="47" t="e">
        <f>E20/G20</f>
        <v>#DIV/0!</v>
      </c>
      <c r="F22" s="48" t="e">
        <f>F20/G20</f>
        <v>#DIV/0!</v>
      </c>
      <c r="G22" s="49" t="e">
        <f>SUM(E22:F22)</f>
        <v>#DIV/0!</v>
      </c>
      <c r="H22" s="50"/>
      <c r="I22" s="48" t="e">
        <f>I20/K20</f>
        <v>#DIV/0!</v>
      </c>
      <c r="J22" s="48" t="e">
        <f>J20/K20</f>
        <v>#DIV/0!</v>
      </c>
      <c r="K22" s="49" t="e">
        <f>SUM(I22:J22)</f>
        <v>#DIV/0!</v>
      </c>
      <c r="L22" s="51"/>
      <c r="M22" s="48">
        <f>M20/O20</f>
        <v>0.5</v>
      </c>
      <c r="N22" s="48">
        <f>N20/O20</f>
        <v>0.5</v>
      </c>
      <c r="O22" s="49">
        <f>SUM(M22:N22)</f>
        <v>1</v>
      </c>
      <c r="P22" s="51"/>
      <c r="Q22" s="48">
        <f>Q20/S20</f>
        <v>1</v>
      </c>
      <c r="R22" s="48">
        <f>R20/S20</f>
        <v>0</v>
      </c>
      <c r="S22" s="49">
        <f>SUM(Q22:R22)</f>
        <v>1</v>
      </c>
      <c r="T22" s="51"/>
      <c r="U22" s="48">
        <f>U20/W20</f>
        <v>1.282051282051282E-2</v>
      </c>
      <c r="V22" s="48">
        <f>V20/W20</f>
        <v>1.1538461538461539E-2</v>
      </c>
      <c r="W22" s="49">
        <f>SUM(U22:V22)</f>
        <v>2.4358974358974359E-2</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50</v>
      </c>
      <c r="D24" s="39"/>
      <c r="E24" s="40"/>
      <c r="F24" s="41">
        <v>0</v>
      </c>
      <c r="G24" s="42">
        <f>SUM(E24:F24)</f>
        <v>0</v>
      </c>
      <c r="H24" s="53"/>
      <c r="I24" s="40"/>
      <c r="J24" s="41">
        <v>0</v>
      </c>
      <c r="K24" s="42">
        <f>SUM(I24:J24)</f>
        <v>0</v>
      </c>
      <c r="L24" s="39"/>
      <c r="M24" s="40"/>
      <c r="N24" s="41"/>
      <c r="O24" s="42">
        <f>SUM(M24:N24)</f>
        <v>0</v>
      </c>
      <c r="P24" s="39"/>
      <c r="Q24" s="40">
        <v>0</v>
      </c>
      <c r="R24" s="41">
        <v>0</v>
      </c>
      <c r="S24" s="42">
        <f>SUM(Q24:R24)</f>
        <v>0</v>
      </c>
      <c r="T24" s="39"/>
      <c r="U24" s="397"/>
      <c r="V24" s="397"/>
      <c r="W24" s="42">
        <v>25</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48" t="s">
        <v>51</v>
      </c>
      <c r="D26" s="217"/>
      <c r="E26" s="217"/>
      <c r="F26" s="217"/>
      <c r="G26" s="217"/>
      <c r="H26" s="217"/>
      <c r="I26" s="217"/>
      <c r="J26" s="217"/>
      <c r="K26" s="217"/>
      <c r="L26" s="217"/>
      <c r="M26" s="217"/>
      <c r="N26" s="217"/>
      <c r="O26" s="217"/>
      <c r="P26" s="217"/>
      <c r="Q26" s="217"/>
      <c r="R26" s="217"/>
      <c r="S26" s="218"/>
      <c r="T26" s="39"/>
      <c r="U26" s="397">
        <f>U20+U24</f>
        <v>10</v>
      </c>
      <c r="V26" s="398">
        <f>V20+V24</f>
        <v>9</v>
      </c>
      <c r="W26" s="42">
        <f>SUM(U26:V26)</f>
        <v>19</v>
      </c>
      <c r="X26" s="3"/>
      <c r="Y26" s="4"/>
      <c r="Z26" s="3"/>
    </row>
    <row r="27" spans="1:26" ht="18" customHeight="1" x14ac:dyDescent="0.3">
      <c r="A27" s="4"/>
      <c r="B27" s="3"/>
      <c r="C27" s="249"/>
      <c r="D27" s="217"/>
      <c r="E27" s="217"/>
      <c r="F27" s="217"/>
      <c r="G27" s="217"/>
      <c r="H27" s="217"/>
      <c r="I27" s="217"/>
      <c r="J27" s="217"/>
      <c r="K27" s="217"/>
      <c r="L27" s="217"/>
      <c r="M27" s="217"/>
      <c r="N27" s="217"/>
      <c r="O27" s="217"/>
      <c r="P27" s="217"/>
      <c r="Q27" s="217"/>
      <c r="R27" s="217"/>
      <c r="S27" s="218"/>
      <c r="T27" s="29"/>
      <c r="U27" s="55">
        <f t="shared" ref="U27:W27" si="0">U26/U20</f>
        <v>1</v>
      </c>
      <c r="V27" s="55">
        <f t="shared" si="0"/>
        <v>1</v>
      </c>
      <c r="W27" s="56">
        <f t="shared" si="0"/>
        <v>2.4358974358974359E-2</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50" t="s">
        <v>52</v>
      </c>
      <c r="D29" s="3"/>
      <c r="E29" s="253" t="s">
        <v>68</v>
      </c>
      <c r="F29" s="254"/>
      <c r="G29" s="255"/>
      <c r="H29" s="58"/>
      <c r="I29" s="261" t="s">
        <v>54</v>
      </c>
      <c r="J29" s="201"/>
      <c r="K29" s="202"/>
      <c r="L29" s="3"/>
      <c r="M29" s="265" t="s">
        <v>55</v>
      </c>
      <c r="N29" s="263"/>
      <c r="O29" s="264"/>
      <c r="P29" s="3"/>
      <c r="Q29" s="261" t="s">
        <v>56</v>
      </c>
      <c r="R29" s="201"/>
      <c r="S29" s="202"/>
      <c r="T29" s="3"/>
      <c r="U29" s="269" t="s">
        <v>57</v>
      </c>
      <c r="V29" s="263"/>
      <c r="W29" s="264"/>
      <c r="X29" s="3"/>
      <c r="Y29" s="4"/>
      <c r="Z29" s="3"/>
    </row>
    <row r="30" spans="1:26" ht="9.75" customHeight="1" x14ac:dyDescent="0.3">
      <c r="A30" s="4"/>
      <c r="B30" s="3"/>
      <c r="C30" s="251"/>
      <c r="D30" s="3"/>
      <c r="E30" s="256"/>
      <c r="F30" s="204"/>
      <c r="G30" s="257"/>
      <c r="H30" s="3"/>
      <c r="I30" s="203"/>
      <c r="J30" s="204"/>
      <c r="K30" s="205"/>
      <c r="L30" s="3"/>
      <c r="M30" s="59"/>
      <c r="N30" s="59"/>
      <c r="O30" s="59"/>
      <c r="P30" s="3"/>
      <c r="Q30" s="203"/>
      <c r="R30" s="204"/>
      <c r="S30" s="205"/>
      <c r="T30" s="3"/>
      <c r="U30" s="60"/>
      <c r="V30" s="60"/>
      <c r="W30" s="60"/>
      <c r="X30" s="3"/>
      <c r="Y30" s="4"/>
      <c r="Z30" s="3"/>
    </row>
    <row r="31" spans="1:26" ht="33.75" customHeight="1" x14ac:dyDescent="0.3">
      <c r="A31" s="4"/>
      <c r="B31" s="3"/>
      <c r="C31" s="252"/>
      <c r="D31" s="3"/>
      <c r="E31" s="258"/>
      <c r="F31" s="259"/>
      <c r="G31" s="260"/>
      <c r="H31" s="58"/>
      <c r="I31" s="206"/>
      <c r="J31" s="207"/>
      <c r="K31" s="208"/>
      <c r="L31" s="3"/>
      <c r="M31" s="265" t="s">
        <v>58</v>
      </c>
      <c r="N31" s="263"/>
      <c r="O31" s="264"/>
      <c r="P31" s="3"/>
      <c r="Q31" s="206"/>
      <c r="R31" s="207"/>
      <c r="S31" s="208"/>
      <c r="T31" s="3"/>
      <c r="U31" s="269" t="s">
        <v>57</v>
      </c>
      <c r="V31" s="263"/>
      <c r="W31" s="264"/>
      <c r="X31" s="3"/>
      <c r="Y31" s="4"/>
      <c r="Z31" s="3"/>
    </row>
    <row r="32" spans="1:26" ht="9.75" customHeight="1" x14ac:dyDescent="0.3">
      <c r="A32" s="4"/>
      <c r="B32" s="3"/>
      <c r="C32" s="61"/>
      <c r="D32" s="3"/>
      <c r="E32" s="62"/>
      <c r="F32" s="62"/>
      <c r="G32" s="62"/>
      <c r="H32" s="58"/>
      <c r="I32" s="266"/>
      <c r="J32" s="197"/>
      <c r="K32" s="198"/>
      <c r="L32" s="3"/>
      <c r="M32" s="62"/>
      <c r="N32" s="62"/>
      <c r="O32" s="62"/>
      <c r="P32" s="3"/>
      <c r="Q32" s="61"/>
      <c r="R32" s="61"/>
      <c r="S32" s="61"/>
      <c r="T32" s="3"/>
      <c r="U32" s="60"/>
      <c r="V32" s="60"/>
      <c r="W32" s="60"/>
      <c r="X32" s="3"/>
      <c r="Y32" s="4"/>
      <c r="Z32" s="3"/>
    </row>
    <row r="33" spans="1:26" ht="84.75" customHeight="1" x14ac:dyDescent="0.3">
      <c r="A33" s="4"/>
      <c r="B33" s="3"/>
      <c r="C33" s="63" t="s">
        <v>60</v>
      </c>
      <c r="D33" s="3"/>
      <c r="E33" s="268" t="s">
        <v>317</v>
      </c>
      <c r="F33" s="263"/>
      <c r="G33" s="264"/>
      <c r="H33" s="58"/>
      <c r="I33" s="267" t="s">
        <v>61</v>
      </c>
      <c r="J33" s="197"/>
      <c r="K33" s="198"/>
      <c r="L33" s="3"/>
      <c r="M33" s="268" t="s">
        <v>237</v>
      </c>
      <c r="N33" s="263"/>
      <c r="O33" s="264"/>
      <c r="P33" s="3"/>
      <c r="Q33" s="267" t="s">
        <v>62</v>
      </c>
      <c r="R33" s="197"/>
      <c r="S33" s="198"/>
      <c r="T33" s="3"/>
      <c r="U33" s="268" t="s">
        <v>222</v>
      </c>
      <c r="V33" s="263"/>
      <c r="W33" s="264"/>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13</v>
      </c>
      <c r="D35" s="4"/>
      <c r="E35" s="270" t="s">
        <v>13</v>
      </c>
      <c r="F35" s="197"/>
      <c r="G35" s="197"/>
      <c r="H35" s="198"/>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38" t="s">
        <v>63</v>
      </c>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8"/>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22" t="s">
        <v>64</v>
      </c>
      <c r="D40" s="197"/>
      <c r="E40" s="197"/>
      <c r="F40" s="197"/>
      <c r="G40" s="197"/>
      <c r="H40" s="197"/>
      <c r="I40" s="197"/>
      <c r="J40" s="197"/>
      <c r="K40" s="197"/>
      <c r="L40" s="197"/>
      <c r="M40" s="197"/>
      <c r="N40" s="197"/>
      <c r="O40" s="197"/>
      <c r="P40" s="197"/>
      <c r="Q40" s="197"/>
      <c r="R40" s="197"/>
      <c r="S40" s="197"/>
      <c r="T40" s="197"/>
      <c r="U40" s="197"/>
      <c r="V40" s="197"/>
      <c r="W40" s="198"/>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62" t="s">
        <v>234</v>
      </c>
      <c r="D42" s="263"/>
      <c r="E42" s="263"/>
      <c r="F42" s="263"/>
      <c r="G42" s="263"/>
      <c r="H42" s="263"/>
      <c r="I42" s="263"/>
      <c r="J42" s="263"/>
      <c r="K42" s="263"/>
      <c r="L42" s="263"/>
      <c r="M42" s="263"/>
      <c r="N42" s="263"/>
      <c r="O42" s="263"/>
      <c r="P42" s="263"/>
      <c r="Q42" s="263"/>
      <c r="R42" s="263"/>
      <c r="S42" s="263"/>
      <c r="T42" s="263"/>
      <c r="U42" s="263"/>
      <c r="V42" s="263"/>
      <c r="W42" s="264"/>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65</v>
      </c>
      <c r="D46" s="3"/>
      <c r="E46" s="65" t="s">
        <v>66</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53</v>
      </c>
      <c r="D47" s="3"/>
      <c r="E47" s="66" t="s">
        <v>67</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68</v>
      </c>
      <c r="D48" s="3"/>
      <c r="E48" s="66" t="s">
        <v>69</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70</v>
      </c>
      <c r="D49" s="3"/>
      <c r="E49" s="66" t="s">
        <v>57</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71</v>
      </c>
      <c r="D51" s="3"/>
      <c r="E51" s="66" t="s">
        <v>72</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55</v>
      </c>
      <c r="D52" s="3"/>
      <c r="E52" s="66" t="s">
        <v>73</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74</v>
      </c>
      <c r="D53" s="3"/>
      <c r="E53" s="66" t="s">
        <v>59</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75</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76</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58</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77</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 ref="C26:S26"/>
    <mergeCell ref="C27:S27"/>
    <mergeCell ref="C29:C31"/>
    <mergeCell ref="E29:G31"/>
    <mergeCell ref="I29:K31"/>
    <mergeCell ref="Q29:S31"/>
    <mergeCell ref="A9:Y9"/>
    <mergeCell ref="Q17:S17"/>
    <mergeCell ref="U17:W17"/>
    <mergeCell ref="C11:W11"/>
    <mergeCell ref="C13:W13"/>
    <mergeCell ref="C15:W15"/>
    <mergeCell ref="C17:C18"/>
    <mergeCell ref="E17:G17"/>
    <mergeCell ref="I17:K17"/>
    <mergeCell ref="M17:O17"/>
    <mergeCell ref="A1:Y1"/>
    <mergeCell ref="A3:Y3"/>
    <mergeCell ref="A5:C7"/>
    <mergeCell ref="E6:I6"/>
    <mergeCell ref="K6:O6"/>
    <mergeCell ref="R6:W6"/>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topLeftCell="A27" zoomScale="80" zoomScaleNormal="80" workbookViewId="0">
      <selection activeCell="O44" sqref="O44:W44"/>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3" width="3" customWidth="1"/>
    <col min="24" max="24" width="1.69921875" customWidth="1"/>
    <col min="25" max="25" width="1" customWidth="1"/>
    <col min="26" max="29" width="10.69921875" customWidth="1"/>
  </cols>
  <sheetData>
    <row r="1" spans="1:29" ht="39.75" customHeight="1" x14ac:dyDescent="0.4">
      <c r="A1" s="196" t="s">
        <v>78</v>
      </c>
      <c r="B1" s="197"/>
      <c r="C1" s="197"/>
      <c r="D1" s="197"/>
      <c r="E1" s="197"/>
      <c r="F1" s="197"/>
      <c r="G1" s="197"/>
      <c r="H1" s="197"/>
      <c r="I1" s="197"/>
      <c r="J1" s="197"/>
      <c r="K1" s="197"/>
      <c r="L1" s="197"/>
      <c r="M1" s="197"/>
      <c r="N1" s="197"/>
      <c r="O1" s="197"/>
      <c r="P1" s="197"/>
      <c r="Q1" s="197"/>
      <c r="R1" s="197"/>
      <c r="S1" s="197"/>
      <c r="T1" s="197"/>
      <c r="U1" s="197"/>
      <c r="V1" s="197"/>
      <c r="W1" s="197"/>
      <c r="X1" s="197"/>
      <c r="Y1" s="198"/>
      <c r="Z1" s="67"/>
      <c r="AA1" s="1" t="s">
        <v>79</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Sècheresse</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Innondation</v>
      </c>
      <c r="AB3" s="3"/>
      <c r="AC3" s="3"/>
    </row>
    <row r="4" spans="1:29" ht="9.75" customHeight="1" x14ac:dyDescent="0.3">
      <c r="A4" s="221" t="s">
        <v>6</v>
      </c>
      <c r="B4" s="201"/>
      <c r="C4" s="202"/>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203"/>
      <c r="B5" s="204"/>
      <c r="C5" s="205"/>
      <c r="D5" s="6"/>
      <c r="E5" s="236" t="str">
        <f>'1. Résumé'!E6</f>
        <v>FKT 09/12 Manometinay</v>
      </c>
      <c r="F5" s="197"/>
      <c r="G5" s="197"/>
      <c r="H5" s="197"/>
      <c r="I5" s="198"/>
      <c r="J5" s="7"/>
      <c r="K5" s="237" t="str">
        <f>'1. Résumé'!G8</f>
        <v>Pays : Madagascar</v>
      </c>
      <c r="L5" s="197"/>
      <c r="M5" s="197"/>
      <c r="N5" s="197"/>
      <c r="O5" s="198"/>
      <c r="P5" s="7"/>
      <c r="Q5" s="7"/>
      <c r="R5" s="237" t="str">
        <f>'1. Résumé'!E10</f>
        <v>Société nationale : Croix-Rouge Malagasy</v>
      </c>
      <c r="S5" s="197"/>
      <c r="T5" s="197"/>
      <c r="U5" s="197"/>
      <c r="V5" s="197"/>
      <c r="W5" s="198"/>
      <c r="X5" s="7"/>
      <c r="Y5" s="7"/>
      <c r="Z5" s="3"/>
      <c r="AA5" s="5" t="str">
        <f>IF(O34="","",O34)</f>
        <v>Cyclone</v>
      </c>
      <c r="AB5" s="3"/>
      <c r="AC5" s="3"/>
    </row>
    <row r="6" spans="1:29" ht="9.75" customHeight="1" x14ac:dyDescent="0.3">
      <c r="A6" s="206"/>
      <c r="B6" s="207"/>
      <c r="C6" s="208"/>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71" t="s">
        <v>80</v>
      </c>
      <c r="B8" s="197"/>
      <c r="C8" s="197"/>
      <c r="D8" s="197"/>
      <c r="E8" s="197"/>
      <c r="F8" s="197"/>
      <c r="G8" s="197"/>
      <c r="H8" s="197"/>
      <c r="I8" s="197"/>
      <c r="J8" s="197"/>
      <c r="K8" s="197"/>
      <c r="L8" s="197"/>
      <c r="M8" s="197"/>
      <c r="N8" s="197"/>
      <c r="O8" s="197"/>
      <c r="P8" s="197"/>
      <c r="Q8" s="197"/>
      <c r="R8" s="197"/>
      <c r="S8" s="197"/>
      <c r="T8" s="197"/>
      <c r="U8" s="197"/>
      <c r="V8" s="197"/>
      <c r="W8" s="197"/>
      <c r="X8" s="197"/>
      <c r="Y8" s="198"/>
      <c r="Z8" s="3"/>
      <c r="AA8" s="5"/>
      <c r="AB8" s="3"/>
      <c r="AC8" s="3" t="s">
        <v>13</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272" t="s">
        <v>81</v>
      </c>
      <c r="D10" s="197"/>
      <c r="E10" s="197"/>
      <c r="F10" s="197"/>
      <c r="G10" s="197"/>
      <c r="H10" s="197"/>
      <c r="I10" s="197"/>
      <c r="J10" s="197"/>
      <c r="K10" s="197"/>
      <c r="L10" s="197"/>
      <c r="M10" s="197"/>
      <c r="N10" s="197"/>
      <c r="O10" s="197"/>
      <c r="P10" s="197"/>
      <c r="Q10" s="197"/>
      <c r="R10" s="197"/>
      <c r="S10" s="197"/>
      <c r="T10" s="197"/>
      <c r="U10" s="197"/>
      <c r="V10" s="197"/>
      <c r="W10" s="198"/>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22" t="s">
        <v>82</v>
      </c>
      <c r="D12" s="197"/>
      <c r="E12" s="197"/>
      <c r="F12" s="197"/>
      <c r="G12" s="197"/>
      <c r="H12" s="197"/>
      <c r="I12" s="197"/>
      <c r="J12" s="197"/>
      <c r="K12" s="197"/>
      <c r="L12" s="197"/>
      <c r="M12" s="197"/>
      <c r="N12" s="197"/>
      <c r="O12" s="197"/>
      <c r="P12" s="197"/>
      <c r="Q12" s="197"/>
      <c r="R12" s="197"/>
      <c r="S12" s="197"/>
      <c r="T12" s="197"/>
      <c r="U12" s="197"/>
      <c r="V12" s="197"/>
      <c r="W12" s="198"/>
      <c r="X12" s="3"/>
      <c r="Y12" s="4"/>
      <c r="Z12" s="3"/>
      <c r="AA12" s="5"/>
      <c r="AB12" s="3"/>
      <c r="AC12" s="3"/>
    </row>
    <row r="13" spans="1:29" ht="9.75" customHeight="1" x14ac:dyDescent="0.3">
      <c r="A13" s="4"/>
      <c r="B13" s="3"/>
      <c r="C13" s="3" t="s">
        <v>13</v>
      </c>
      <c r="D13" s="3"/>
      <c r="E13" s="3"/>
      <c r="F13" s="3"/>
      <c r="G13" s="3"/>
      <c r="H13" s="3" t="s">
        <v>13</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41" t="s">
        <v>277</v>
      </c>
      <c r="D14" s="263"/>
      <c r="E14" s="263"/>
      <c r="F14" s="263"/>
      <c r="G14" s="263"/>
      <c r="H14" s="263"/>
      <c r="I14" s="263"/>
      <c r="J14" s="263"/>
      <c r="K14" s="263"/>
      <c r="L14" s="263"/>
      <c r="M14" s="263"/>
      <c r="N14" s="263"/>
      <c r="O14" s="263"/>
      <c r="P14" s="263"/>
      <c r="Q14" s="263"/>
      <c r="R14" s="263"/>
      <c r="S14" s="263"/>
      <c r="T14" s="263"/>
      <c r="U14" s="263"/>
      <c r="V14" s="263"/>
      <c r="W14" s="264"/>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264</v>
      </c>
      <c r="D16" s="71"/>
      <c r="E16" s="71"/>
      <c r="F16" s="71"/>
      <c r="G16" s="71"/>
      <c r="H16" s="71"/>
      <c r="I16" s="71"/>
      <c r="J16" s="71"/>
      <c r="K16" s="71"/>
      <c r="L16" s="14"/>
      <c r="M16" s="72" t="s">
        <v>263</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84</v>
      </c>
      <c r="D18" s="73"/>
      <c r="E18" s="273" t="s">
        <v>264</v>
      </c>
      <c r="F18" s="263"/>
      <c r="G18" s="263"/>
      <c r="H18" s="263"/>
      <c r="I18" s="263"/>
      <c r="J18" s="263"/>
      <c r="K18" s="264"/>
      <c r="L18" s="3"/>
      <c r="M18" s="74" t="s">
        <v>84</v>
      </c>
      <c r="N18" s="75"/>
      <c r="O18" s="274" t="s">
        <v>263</v>
      </c>
      <c r="P18" s="263"/>
      <c r="Q18" s="263"/>
      <c r="R18" s="263"/>
      <c r="S18" s="263"/>
      <c r="T18" s="263"/>
      <c r="U18" s="263"/>
      <c r="V18" s="263"/>
      <c r="W18" s="264"/>
      <c r="X18" s="3"/>
      <c r="Y18" s="4"/>
      <c r="Z18" s="3"/>
      <c r="AA18" s="5"/>
      <c r="AB18" s="3"/>
      <c r="AC18" s="3"/>
    </row>
    <row r="19" spans="1:29" ht="9.75" customHeight="1" thickBot="1" x14ac:dyDescent="0.35">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thickBot="1" x14ac:dyDescent="0.35">
      <c r="A20" s="4"/>
      <c r="B20" s="3"/>
      <c r="C20" s="74" t="s">
        <v>85</v>
      </c>
      <c r="D20" s="73"/>
      <c r="E20" s="275" t="s">
        <v>265</v>
      </c>
      <c r="F20" s="276"/>
      <c r="G20" s="276"/>
      <c r="H20" s="276"/>
      <c r="I20" s="276"/>
      <c r="J20" s="276"/>
      <c r="K20" s="277"/>
      <c r="L20" s="3"/>
      <c r="M20" s="74" t="s">
        <v>85</v>
      </c>
      <c r="N20" s="75"/>
      <c r="O20" s="241" t="s">
        <v>213</v>
      </c>
      <c r="P20" s="242"/>
      <c r="Q20" s="242"/>
      <c r="R20" s="242"/>
      <c r="S20" s="242"/>
      <c r="T20" s="242"/>
      <c r="U20" s="242"/>
      <c r="V20" s="242"/>
      <c r="W20" s="243"/>
      <c r="X20" s="3"/>
      <c r="Y20" s="4"/>
      <c r="Z20" s="3"/>
      <c r="AA20" s="5"/>
      <c r="AB20" s="3"/>
      <c r="AC20" s="3"/>
    </row>
    <row r="21" spans="1:29" ht="9.75" customHeight="1" thickBot="1" x14ac:dyDescent="0.35">
      <c r="A21" s="4"/>
      <c r="B21" s="3"/>
      <c r="C21" s="76" t="s">
        <v>13</v>
      </c>
      <c r="D21" s="73"/>
      <c r="E21" s="73"/>
      <c r="F21" s="73"/>
      <c r="G21" s="73"/>
      <c r="H21" s="73"/>
      <c r="I21" s="73"/>
      <c r="J21" s="73"/>
      <c r="K21" s="73"/>
      <c r="L21" s="3"/>
      <c r="M21" s="75" t="s">
        <v>13</v>
      </c>
      <c r="N21" s="75"/>
      <c r="O21" s="15"/>
      <c r="P21" s="15"/>
      <c r="Q21" s="15"/>
      <c r="R21" s="15"/>
      <c r="S21" s="15"/>
      <c r="T21" s="15"/>
      <c r="U21" s="15"/>
      <c r="V21" s="15"/>
      <c r="W21" s="15"/>
      <c r="X21" s="3"/>
      <c r="Y21" s="4"/>
      <c r="Z21" s="3"/>
      <c r="AA21" s="5"/>
      <c r="AB21" s="3"/>
      <c r="AC21" s="3"/>
    </row>
    <row r="22" spans="1:29" ht="31.5" customHeight="1" thickBot="1" x14ac:dyDescent="0.35">
      <c r="A22" s="4"/>
      <c r="B22" s="3"/>
      <c r="C22" s="74" t="s">
        <v>86</v>
      </c>
      <c r="D22" s="73"/>
      <c r="E22" s="279" t="s">
        <v>266</v>
      </c>
      <c r="F22" s="280"/>
      <c r="G22" s="280"/>
      <c r="H22" s="280"/>
      <c r="I22" s="280"/>
      <c r="J22" s="280"/>
      <c r="K22" s="281"/>
      <c r="L22" s="3"/>
      <c r="M22" s="74" t="s">
        <v>86</v>
      </c>
      <c r="N22" s="75"/>
      <c r="O22" s="278" t="s">
        <v>270</v>
      </c>
      <c r="P22" s="242"/>
      <c r="Q22" s="242"/>
      <c r="R22" s="242"/>
      <c r="S22" s="242"/>
      <c r="T22" s="242"/>
      <c r="U22" s="242"/>
      <c r="V22" s="242"/>
      <c r="W22" s="243"/>
      <c r="X22" s="3"/>
      <c r="Y22" s="4"/>
      <c r="Z22" s="3"/>
      <c r="AA22" s="5"/>
      <c r="AB22" s="3"/>
      <c r="AC22" s="3"/>
    </row>
    <row r="23" spans="1:29" ht="9.75" customHeight="1" thickBot="1" x14ac:dyDescent="0.35">
      <c r="A23" s="4"/>
      <c r="B23" s="3"/>
      <c r="C23" s="76" t="s">
        <v>13</v>
      </c>
      <c r="D23" s="73"/>
      <c r="E23" s="73"/>
      <c r="F23" s="73"/>
      <c r="G23" s="73"/>
      <c r="H23" s="73"/>
      <c r="I23" s="73"/>
      <c r="J23" s="73"/>
      <c r="K23" s="73"/>
      <c r="L23" s="3"/>
      <c r="M23" s="75" t="s">
        <v>13</v>
      </c>
      <c r="N23" s="75"/>
      <c r="O23" s="15"/>
      <c r="P23" s="15"/>
      <c r="Q23" s="15"/>
      <c r="R23" s="15"/>
      <c r="S23" s="15"/>
      <c r="T23" s="15"/>
      <c r="U23" s="15"/>
      <c r="V23" s="15"/>
      <c r="W23" s="15"/>
      <c r="X23" s="3"/>
      <c r="Y23" s="4"/>
      <c r="Z23" s="3"/>
      <c r="AA23" s="5"/>
      <c r="AB23" s="3"/>
      <c r="AC23" s="3"/>
    </row>
    <row r="24" spans="1:29" ht="31.5" customHeight="1" thickBot="1" x14ac:dyDescent="0.35">
      <c r="A24" s="4"/>
      <c r="B24" s="3"/>
      <c r="C24" s="74" t="s">
        <v>87</v>
      </c>
      <c r="D24" s="73"/>
      <c r="E24" s="282" t="s">
        <v>223</v>
      </c>
      <c r="F24" s="283"/>
      <c r="G24" s="283"/>
      <c r="H24" s="283"/>
      <c r="I24" s="283"/>
      <c r="J24" s="283"/>
      <c r="K24" s="284"/>
      <c r="L24" s="3"/>
      <c r="M24" s="74" t="s">
        <v>87</v>
      </c>
      <c r="N24" s="75"/>
      <c r="O24" s="285" t="s">
        <v>238</v>
      </c>
      <c r="P24" s="263"/>
      <c r="Q24" s="263"/>
      <c r="R24" s="263"/>
      <c r="S24" s="263"/>
      <c r="T24" s="263"/>
      <c r="U24" s="263"/>
      <c r="V24" s="263"/>
      <c r="W24" s="264"/>
      <c r="X24" s="3"/>
      <c r="Y24" s="4"/>
      <c r="Z24" s="3"/>
      <c r="AA24" s="5"/>
      <c r="AB24" s="3"/>
      <c r="AC24" s="3"/>
    </row>
    <row r="25" spans="1:29" ht="9.75" customHeight="1" thickBot="1" x14ac:dyDescent="0.35">
      <c r="A25" s="4"/>
      <c r="B25" s="3"/>
      <c r="C25" s="76" t="s">
        <v>13</v>
      </c>
      <c r="D25" s="73"/>
      <c r="E25" s="73"/>
      <c r="F25" s="73"/>
      <c r="G25" s="73"/>
      <c r="H25" s="73"/>
      <c r="I25" s="73"/>
      <c r="J25" s="73"/>
      <c r="K25" s="73"/>
      <c r="L25" s="3"/>
      <c r="M25" s="75" t="s">
        <v>13</v>
      </c>
      <c r="N25" s="75"/>
      <c r="O25" s="168"/>
      <c r="P25" s="168"/>
      <c r="Q25" s="168"/>
      <c r="R25" s="168"/>
      <c r="S25" s="168"/>
      <c r="T25" s="168"/>
      <c r="U25" s="168"/>
      <c r="V25" s="168"/>
      <c r="W25" s="168"/>
      <c r="X25" s="3"/>
      <c r="Y25" s="4"/>
      <c r="Z25" s="3"/>
      <c r="AA25" s="5"/>
      <c r="AB25" s="3"/>
      <c r="AC25" s="3"/>
    </row>
    <row r="26" spans="1:29" ht="31.5" customHeight="1" thickBot="1" x14ac:dyDescent="0.35">
      <c r="A26" s="4"/>
      <c r="B26" s="3"/>
      <c r="C26" s="74" t="s">
        <v>88</v>
      </c>
      <c r="D26" s="73"/>
      <c r="E26" s="279" t="s">
        <v>267</v>
      </c>
      <c r="F26" s="280"/>
      <c r="G26" s="280"/>
      <c r="H26" s="280"/>
      <c r="I26" s="280"/>
      <c r="J26" s="280"/>
      <c r="K26" s="281"/>
      <c r="L26" s="3"/>
      <c r="M26" s="74" t="s">
        <v>88</v>
      </c>
      <c r="N26" s="75"/>
      <c r="O26" s="285" t="s">
        <v>271</v>
      </c>
      <c r="P26" s="263"/>
      <c r="Q26" s="263"/>
      <c r="R26" s="263"/>
      <c r="S26" s="263"/>
      <c r="T26" s="263"/>
      <c r="U26" s="263"/>
      <c r="V26" s="263"/>
      <c r="W26" s="264"/>
      <c r="X26" s="3"/>
      <c r="Y26" s="4"/>
      <c r="Z26" s="3"/>
      <c r="AA26" s="5"/>
      <c r="AB26" s="3"/>
      <c r="AC26" s="3"/>
    </row>
    <row r="27" spans="1:29" ht="9.75" customHeight="1" thickBot="1" x14ac:dyDescent="0.35">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thickBot="1" x14ac:dyDescent="0.35">
      <c r="A28" s="4"/>
      <c r="B28" s="3"/>
      <c r="C28" s="74" t="s">
        <v>89</v>
      </c>
      <c r="D28" s="73"/>
      <c r="E28" s="286" t="s">
        <v>268</v>
      </c>
      <c r="F28" s="287"/>
      <c r="G28" s="287"/>
      <c r="H28" s="287"/>
      <c r="I28" s="287"/>
      <c r="J28" s="287"/>
      <c r="K28" s="288"/>
      <c r="L28" s="3"/>
      <c r="M28" s="74" t="s">
        <v>89</v>
      </c>
      <c r="N28" s="75"/>
      <c r="O28" s="289" t="s">
        <v>272</v>
      </c>
      <c r="P28" s="263"/>
      <c r="Q28" s="263"/>
      <c r="R28" s="263"/>
      <c r="S28" s="263"/>
      <c r="T28" s="263"/>
      <c r="U28" s="263"/>
      <c r="V28" s="263"/>
      <c r="W28" s="264"/>
      <c r="X28" s="3"/>
      <c r="Y28" s="4"/>
      <c r="Z28" s="3"/>
      <c r="AA28" s="5"/>
      <c r="AB28" s="3"/>
      <c r="AC28" s="3"/>
    </row>
    <row r="29" spans="1:29" ht="9.75" customHeight="1" thickBot="1" x14ac:dyDescent="0.35">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thickBot="1" x14ac:dyDescent="0.35">
      <c r="A30" s="4"/>
      <c r="B30" s="3"/>
      <c r="C30" s="74" t="s">
        <v>90</v>
      </c>
      <c r="D30" s="73"/>
      <c r="E30" s="282" t="s">
        <v>269</v>
      </c>
      <c r="F30" s="283"/>
      <c r="G30" s="283"/>
      <c r="H30" s="283"/>
      <c r="I30" s="283"/>
      <c r="J30" s="283"/>
      <c r="K30" s="284"/>
      <c r="L30" s="3"/>
      <c r="M30" s="74" t="s">
        <v>90</v>
      </c>
      <c r="N30" s="75"/>
      <c r="O30" s="290" t="s">
        <v>273</v>
      </c>
      <c r="P30" s="291"/>
      <c r="Q30" s="291"/>
      <c r="R30" s="291"/>
      <c r="S30" s="291"/>
      <c r="T30" s="291"/>
      <c r="U30" s="291"/>
      <c r="V30" s="291"/>
      <c r="W30" s="292"/>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91</v>
      </c>
      <c r="D32" s="78"/>
      <c r="E32" s="78"/>
      <c r="F32" s="78"/>
      <c r="G32" s="78"/>
      <c r="H32" s="78"/>
      <c r="I32" s="78"/>
      <c r="J32" s="78"/>
      <c r="K32" s="78"/>
      <c r="L32" s="14"/>
      <c r="M32" s="72" t="s">
        <v>83</v>
      </c>
      <c r="N32" s="72"/>
      <c r="O32" s="72"/>
      <c r="P32" s="72"/>
      <c r="Q32" s="72"/>
      <c r="R32" s="72"/>
      <c r="S32" s="72"/>
      <c r="T32" s="72"/>
      <c r="U32" s="72"/>
      <c r="V32" s="72"/>
      <c r="W32" s="72"/>
      <c r="X32" s="3"/>
      <c r="Y32" s="4"/>
      <c r="Z32" s="3"/>
      <c r="AA32" s="5"/>
      <c r="AB32" s="3"/>
      <c r="AC32" s="3"/>
    </row>
    <row r="33" spans="1:29" ht="9.75" customHeight="1" thickBot="1" x14ac:dyDescent="0.35">
      <c r="A33" s="4"/>
      <c r="B33" s="3"/>
      <c r="C33" s="79"/>
      <c r="D33" s="79"/>
      <c r="E33" s="79"/>
      <c r="F33" s="79"/>
      <c r="G33" s="79"/>
      <c r="H33" s="79"/>
      <c r="I33" s="79"/>
      <c r="J33" s="79"/>
      <c r="K33" s="79"/>
      <c r="L33" s="3"/>
      <c r="M33" s="15"/>
      <c r="N33" s="15"/>
      <c r="O33" s="15"/>
      <c r="P33" s="15"/>
      <c r="Q33" s="15"/>
      <c r="R33" s="15"/>
      <c r="S33" s="15"/>
      <c r="T33" s="15"/>
      <c r="U33" s="15"/>
      <c r="V33" s="15"/>
      <c r="W33" s="15"/>
      <c r="X33" s="3"/>
      <c r="Y33" s="4"/>
      <c r="Z33" s="3"/>
      <c r="AA33" s="5"/>
      <c r="AB33" s="3"/>
      <c r="AC33" s="3"/>
    </row>
    <row r="34" spans="1:29" ht="31.5" customHeight="1" thickBot="1" x14ac:dyDescent="0.35">
      <c r="A34" s="4"/>
      <c r="B34" s="3"/>
      <c r="C34" s="74" t="s">
        <v>84</v>
      </c>
      <c r="D34" s="79"/>
      <c r="E34" s="273" t="s">
        <v>91</v>
      </c>
      <c r="F34" s="263"/>
      <c r="G34" s="263"/>
      <c r="H34" s="263"/>
      <c r="I34" s="263"/>
      <c r="J34" s="263"/>
      <c r="K34" s="264"/>
      <c r="L34" s="3"/>
      <c r="M34" s="74" t="s">
        <v>84</v>
      </c>
      <c r="N34" s="75"/>
      <c r="O34" s="274" t="s">
        <v>83</v>
      </c>
      <c r="P34" s="263"/>
      <c r="Q34" s="263"/>
      <c r="R34" s="263"/>
      <c r="S34" s="263"/>
      <c r="T34" s="263"/>
      <c r="U34" s="263"/>
      <c r="V34" s="263"/>
      <c r="W34" s="264"/>
      <c r="X34" s="3"/>
      <c r="Y34" s="4"/>
      <c r="Z34" s="3"/>
      <c r="AA34" s="5"/>
      <c r="AB34" s="3"/>
      <c r="AC34" s="3"/>
    </row>
    <row r="35" spans="1:29" ht="9.75" customHeight="1" thickBot="1" x14ac:dyDescent="0.35">
      <c r="A35" s="4"/>
      <c r="B35" s="3"/>
      <c r="C35" s="80"/>
      <c r="D35" s="79"/>
      <c r="E35" s="79"/>
      <c r="F35" s="79"/>
      <c r="G35" s="79"/>
      <c r="H35" s="79"/>
      <c r="I35" s="79"/>
      <c r="J35" s="79"/>
      <c r="K35" s="79"/>
      <c r="L35" s="3"/>
      <c r="M35" s="75"/>
      <c r="N35" s="75"/>
      <c r="O35" s="15"/>
      <c r="P35" s="15"/>
      <c r="Q35" s="15"/>
      <c r="R35" s="15"/>
      <c r="S35" s="15"/>
      <c r="T35" s="15"/>
      <c r="U35" s="15"/>
      <c r="V35" s="15"/>
      <c r="W35" s="15"/>
      <c r="X35" s="3"/>
      <c r="Y35" s="4"/>
      <c r="Z35" s="3"/>
      <c r="AA35" s="5"/>
      <c r="AB35" s="3"/>
      <c r="AC35" s="3"/>
    </row>
    <row r="36" spans="1:29" ht="80.25" customHeight="1" thickBot="1" x14ac:dyDescent="0.35">
      <c r="A36" s="4"/>
      <c r="B36" s="3"/>
      <c r="C36" s="74" t="s">
        <v>85</v>
      </c>
      <c r="D36" s="79"/>
      <c r="E36" s="282" t="s">
        <v>274</v>
      </c>
      <c r="F36" s="283"/>
      <c r="G36" s="283"/>
      <c r="H36" s="283"/>
      <c r="I36" s="283"/>
      <c r="J36" s="283"/>
      <c r="K36" s="284"/>
      <c r="L36" s="3"/>
      <c r="M36" s="74" t="s">
        <v>85</v>
      </c>
      <c r="N36" s="75"/>
      <c r="O36" s="241" t="s">
        <v>213</v>
      </c>
      <c r="P36" s="242"/>
      <c r="Q36" s="242"/>
      <c r="R36" s="242"/>
      <c r="S36" s="242"/>
      <c r="T36" s="242"/>
      <c r="U36" s="242"/>
      <c r="V36" s="242"/>
      <c r="W36" s="243"/>
      <c r="X36" s="3"/>
      <c r="Y36" s="4"/>
      <c r="Z36" s="3"/>
      <c r="AA36" s="5"/>
      <c r="AB36" s="3"/>
      <c r="AC36" s="3"/>
    </row>
    <row r="37" spans="1:29" ht="9.75" customHeight="1" thickBot="1" x14ac:dyDescent="0.35">
      <c r="A37" s="4"/>
      <c r="B37" s="3"/>
      <c r="C37" s="80" t="s">
        <v>13</v>
      </c>
      <c r="D37" s="79"/>
      <c r="E37" s="79"/>
      <c r="F37" s="79"/>
      <c r="G37" s="79"/>
      <c r="H37" s="79"/>
      <c r="I37" s="79"/>
      <c r="J37" s="79"/>
      <c r="K37" s="79"/>
      <c r="L37" s="3"/>
      <c r="M37" s="75" t="s">
        <v>13</v>
      </c>
      <c r="N37" s="75"/>
      <c r="O37" s="15"/>
      <c r="P37" s="15"/>
      <c r="Q37" s="15"/>
      <c r="R37" s="15"/>
      <c r="S37" s="15"/>
      <c r="T37" s="15"/>
      <c r="U37" s="15"/>
      <c r="V37" s="15"/>
      <c r="W37" s="15"/>
      <c r="X37" s="3"/>
      <c r="Y37" s="4"/>
      <c r="Z37" s="3"/>
      <c r="AA37" s="5"/>
      <c r="AB37" s="3"/>
      <c r="AC37" s="3"/>
    </row>
    <row r="38" spans="1:29" ht="31.5" customHeight="1" thickBot="1" x14ac:dyDescent="0.35">
      <c r="A38" s="4"/>
      <c r="B38" s="3"/>
      <c r="C38" s="74" t="s">
        <v>86</v>
      </c>
      <c r="D38" s="79"/>
      <c r="E38" s="282" t="s">
        <v>275</v>
      </c>
      <c r="F38" s="283"/>
      <c r="G38" s="283"/>
      <c r="H38" s="283"/>
      <c r="I38" s="283"/>
      <c r="J38" s="283"/>
      <c r="K38" s="284"/>
      <c r="L38" s="3"/>
      <c r="M38" s="74" t="s">
        <v>86</v>
      </c>
      <c r="N38" s="75"/>
      <c r="O38" s="278" t="s">
        <v>313</v>
      </c>
      <c r="P38" s="242"/>
      <c r="Q38" s="242"/>
      <c r="R38" s="242"/>
      <c r="S38" s="242"/>
      <c r="T38" s="242"/>
      <c r="U38" s="242"/>
      <c r="V38" s="242"/>
      <c r="W38" s="243"/>
      <c r="X38" s="3"/>
      <c r="Y38" s="4"/>
      <c r="Z38" s="3"/>
      <c r="AA38" s="5"/>
      <c r="AB38" s="3"/>
      <c r="AC38" s="3"/>
    </row>
    <row r="39" spans="1:29" ht="9.75" customHeight="1" thickBot="1" x14ac:dyDescent="0.35">
      <c r="A39" s="4"/>
      <c r="B39" s="3"/>
      <c r="C39" s="80" t="s">
        <v>13</v>
      </c>
      <c r="D39" s="79"/>
      <c r="E39" s="79"/>
      <c r="F39" s="79"/>
      <c r="G39" s="79"/>
      <c r="H39" s="79"/>
      <c r="I39" s="79"/>
      <c r="J39" s="79"/>
      <c r="K39" s="79"/>
      <c r="L39" s="3"/>
      <c r="M39" s="75" t="s">
        <v>13</v>
      </c>
      <c r="N39" s="75"/>
      <c r="O39" s="15"/>
      <c r="P39" s="15"/>
      <c r="Q39" s="15"/>
      <c r="R39" s="15"/>
      <c r="S39" s="15"/>
      <c r="T39" s="15"/>
      <c r="U39" s="15"/>
      <c r="V39" s="15"/>
      <c r="W39" s="15"/>
      <c r="X39" s="3"/>
      <c r="Y39" s="4"/>
      <c r="Z39" s="3"/>
      <c r="AA39" s="5"/>
      <c r="AB39" s="3"/>
      <c r="AC39" s="3"/>
    </row>
    <row r="40" spans="1:29" ht="31.5" customHeight="1" thickBot="1" x14ac:dyDescent="0.35">
      <c r="A40" s="4"/>
      <c r="B40" s="3"/>
      <c r="C40" s="74" t="s">
        <v>87</v>
      </c>
      <c r="D40" s="79"/>
      <c r="E40" s="278" t="s">
        <v>208</v>
      </c>
      <c r="F40" s="263"/>
      <c r="G40" s="263"/>
      <c r="H40" s="263"/>
      <c r="I40" s="263"/>
      <c r="J40" s="263"/>
      <c r="K40" s="264"/>
      <c r="L40" s="3"/>
      <c r="M40" s="74" t="s">
        <v>87</v>
      </c>
      <c r="N40" s="75"/>
      <c r="O40" s="285" t="s">
        <v>314</v>
      </c>
      <c r="P40" s="263"/>
      <c r="Q40" s="263"/>
      <c r="R40" s="263"/>
      <c r="S40" s="263"/>
      <c r="T40" s="263"/>
      <c r="U40" s="263"/>
      <c r="V40" s="263"/>
      <c r="W40" s="264"/>
      <c r="X40" s="3"/>
      <c r="Y40" s="4"/>
      <c r="Z40" s="3"/>
      <c r="AA40" s="5"/>
      <c r="AB40" s="3"/>
      <c r="AC40" s="3"/>
    </row>
    <row r="41" spans="1:29" ht="9.75" customHeight="1" thickBot="1" x14ac:dyDescent="0.35">
      <c r="A41" s="4"/>
      <c r="B41" s="3"/>
      <c r="C41" s="80" t="s">
        <v>13</v>
      </c>
      <c r="D41" s="79"/>
      <c r="E41" s="79"/>
      <c r="F41" s="79"/>
      <c r="G41" s="79"/>
      <c r="H41" s="79"/>
      <c r="I41" s="79"/>
      <c r="J41" s="79"/>
      <c r="K41" s="79"/>
      <c r="L41" s="3"/>
      <c r="M41" s="75" t="s">
        <v>13</v>
      </c>
      <c r="N41" s="75"/>
      <c r="O41" s="168"/>
      <c r="P41" s="168"/>
      <c r="Q41" s="168"/>
      <c r="R41" s="168"/>
      <c r="S41" s="168"/>
      <c r="T41" s="168"/>
      <c r="U41" s="168"/>
      <c r="V41" s="168"/>
      <c r="W41" s="168"/>
      <c r="X41" s="3"/>
      <c r="Y41" s="4"/>
      <c r="Z41" s="3"/>
      <c r="AA41" s="5"/>
      <c r="AB41" s="3"/>
      <c r="AC41" s="3"/>
    </row>
    <row r="42" spans="1:29" ht="31.5" customHeight="1" thickBot="1" x14ac:dyDescent="0.35">
      <c r="A42" s="4"/>
      <c r="B42" s="3"/>
      <c r="C42" s="74" t="s">
        <v>88</v>
      </c>
      <c r="D42" s="79"/>
      <c r="E42" s="297" t="s">
        <v>267</v>
      </c>
      <c r="F42" s="298"/>
      <c r="G42" s="298"/>
      <c r="H42" s="298"/>
      <c r="I42" s="298"/>
      <c r="J42" s="298"/>
      <c r="K42" s="299"/>
      <c r="L42" s="3"/>
      <c r="M42" s="74" t="s">
        <v>88</v>
      </c>
      <c r="N42" s="75"/>
      <c r="O42" s="285" t="s">
        <v>315</v>
      </c>
      <c r="P42" s="263"/>
      <c r="Q42" s="263"/>
      <c r="R42" s="263"/>
      <c r="S42" s="263"/>
      <c r="T42" s="263"/>
      <c r="U42" s="263"/>
      <c r="V42" s="263"/>
      <c r="W42" s="264"/>
      <c r="X42" s="3"/>
      <c r="Y42" s="4"/>
      <c r="Z42" s="3"/>
      <c r="AA42" s="5"/>
      <c r="AB42" s="3"/>
      <c r="AC42" s="3"/>
    </row>
    <row r="43" spans="1:29" ht="9.75" customHeight="1" thickBot="1" x14ac:dyDescent="0.35">
      <c r="A43" s="4"/>
      <c r="B43" s="3"/>
      <c r="C43" s="80"/>
      <c r="D43" s="79"/>
      <c r="E43" s="79"/>
      <c r="F43" s="79"/>
      <c r="G43" s="79"/>
      <c r="H43" s="79"/>
      <c r="I43" s="79"/>
      <c r="J43" s="79"/>
      <c r="K43" s="79"/>
      <c r="L43" s="3"/>
      <c r="M43" s="75"/>
      <c r="N43" s="75"/>
      <c r="O43" s="15"/>
      <c r="P43" s="15"/>
      <c r="Q43" s="15"/>
      <c r="R43" s="15"/>
      <c r="S43" s="15"/>
      <c r="T43" s="15"/>
      <c r="U43" s="15"/>
      <c r="V43" s="15"/>
      <c r="W43" s="15"/>
      <c r="X43" s="3"/>
      <c r="Y43" s="4"/>
      <c r="Z43" s="3"/>
      <c r="AA43" s="5"/>
      <c r="AB43" s="3"/>
      <c r="AC43" s="3"/>
    </row>
    <row r="44" spans="1:29" ht="31.5" customHeight="1" thickBot="1" x14ac:dyDescent="0.35">
      <c r="A44" s="4"/>
      <c r="B44" s="3"/>
      <c r="C44" s="74" t="s">
        <v>89</v>
      </c>
      <c r="D44" s="79"/>
      <c r="E44" s="293" t="s">
        <v>276</v>
      </c>
      <c r="F44" s="294"/>
      <c r="G44" s="294"/>
      <c r="H44" s="294"/>
      <c r="I44" s="294"/>
      <c r="J44" s="294"/>
      <c r="K44" s="295"/>
      <c r="L44" s="3"/>
      <c r="M44" s="74" t="s">
        <v>89</v>
      </c>
      <c r="N44" s="75"/>
      <c r="O44" s="289" t="s">
        <v>316</v>
      </c>
      <c r="P44" s="263"/>
      <c r="Q44" s="263"/>
      <c r="R44" s="263"/>
      <c r="S44" s="263"/>
      <c r="T44" s="263"/>
      <c r="U44" s="263"/>
      <c r="V44" s="263"/>
      <c r="W44" s="264"/>
      <c r="X44" s="3"/>
      <c r="Y44" s="4"/>
      <c r="Z44" s="3"/>
      <c r="AA44" s="5"/>
      <c r="AB44" s="3"/>
      <c r="AC44" s="3"/>
    </row>
    <row r="45" spans="1:29" ht="9.75" customHeight="1" thickBot="1" x14ac:dyDescent="0.35">
      <c r="A45" s="4"/>
      <c r="B45" s="3"/>
      <c r="C45" s="80"/>
      <c r="D45" s="79"/>
      <c r="E45" s="79"/>
      <c r="F45" s="79"/>
      <c r="G45" s="79"/>
      <c r="H45" s="79"/>
      <c r="I45" s="79"/>
      <c r="J45" s="79"/>
      <c r="K45" s="79"/>
      <c r="L45" s="3"/>
      <c r="M45" s="75"/>
      <c r="N45" s="75"/>
      <c r="O45" s="15"/>
      <c r="P45" s="15"/>
      <c r="Q45" s="15"/>
      <c r="R45" s="15"/>
      <c r="S45" s="15"/>
      <c r="T45" s="15"/>
      <c r="U45" s="15"/>
      <c r="V45" s="15"/>
      <c r="W45" s="15"/>
      <c r="X45" s="3"/>
      <c r="Y45" s="4"/>
      <c r="Z45" s="3"/>
      <c r="AA45" s="5"/>
      <c r="AB45" s="3"/>
      <c r="AC45" s="3"/>
    </row>
    <row r="46" spans="1:29" ht="31.5" customHeight="1" thickBot="1" x14ac:dyDescent="0.35">
      <c r="A46" s="4"/>
      <c r="B46" s="3"/>
      <c r="C46" s="74" t="s">
        <v>90</v>
      </c>
      <c r="D46" s="79"/>
      <c r="E46" s="278" t="s">
        <v>209</v>
      </c>
      <c r="F46" s="263"/>
      <c r="G46" s="263"/>
      <c r="H46" s="263"/>
      <c r="I46" s="263"/>
      <c r="J46" s="263"/>
      <c r="K46" s="264"/>
      <c r="L46" s="3"/>
      <c r="M46" s="74" t="s">
        <v>90</v>
      </c>
      <c r="N46" s="75"/>
      <c r="O46" s="290" t="s">
        <v>273</v>
      </c>
      <c r="P46" s="291"/>
      <c r="Q46" s="291"/>
      <c r="R46" s="291"/>
      <c r="S46" s="291"/>
      <c r="T46" s="291"/>
      <c r="U46" s="291"/>
      <c r="V46" s="291"/>
      <c r="W46" s="292"/>
      <c r="X46" s="3"/>
      <c r="Y46" s="4"/>
      <c r="Z46" s="3"/>
      <c r="AA46" s="5"/>
      <c r="AB46" s="3"/>
      <c r="AC46" s="3"/>
    </row>
    <row r="47" spans="1:29" ht="9.75" customHeight="1" thickBot="1" x14ac:dyDescent="0.35">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96" t="s">
        <v>92</v>
      </c>
      <c r="D48" s="197"/>
      <c r="E48" s="197"/>
      <c r="F48" s="197"/>
      <c r="G48" s="197"/>
      <c r="H48" s="197"/>
      <c r="I48" s="197"/>
      <c r="J48" s="197"/>
      <c r="K48" s="197"/>
      <c r="L48" s="197"/>
      <c r="M48" s="197"/>
      <c r="N48" s="197"/>
      <c r="O48" s="197"/>
      <c r="P48" s="197"/>
      <c r="Q48" s="197"/>
      <c r="R48" s="197"/>
      <c r="S48" s="197"/>
      <c r="T48" s="197"/>
      <c r="U48" s="198"/>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8">
    <mergeCell ref="E44:K44"/>
    <mergeCell ref="E46:K46"/>
    <mergeCell ref="O46:W46"/>
    <mergeCell ref="C48:U48"/>
    <mergeCell ref="E38:K38"/>
    <mergeCell ref="O38:W38"/>
    <mergeCell ref="E40:K40"/>
    <mergeCell ref="O40:W40"/>
    <mergeCell ref="E42:K42"/>
    <mergeCell ref="O42:W42"/>
    <mergeCell ref="O44:W44"/>
    <mergeCell ref="E34:K34"/>
    <mergeCell ref="O34:W34"/>
    <mergeCell ref="E36:K36"/>
    <mergeCell ref="O36:W36"/>
    <mergeCell ref="E26:K26"/>
    <mergeCell ref="O26:W26"/>
    <mergeCell ref="E28:K28"/>
    <mergeCell ref="O28:W28"/>
    <mergeCell ref="E30:K30"/>
    <mergeCell ref="O30:W30"/>
    <mergeCell ref="E20:K20"/>
    <mergeCell ref="O20:W20"/>
    <mergeCell ref="O22:W22"/>
    <mergeCell ref="E22:K22"/>
    <mergeCell ref="E24:K24"/>
    <mergeCell ref="O24:W24"/>
    <mergeCell ref="A8:Y8"/>
    <mergeCell ref="C10:W10"/>
    <mergeCell ref="C12:W12"/>
    <mergeCell ref="C14:W14"/>
    <mergeCell ref="E18:K18"/>
    <mergeCell ref="O18:W18"/>
    <mergeCell ref="A1:Y1"/>
    <mergeCell ref="A4:C6"/>
    <mergeCell ref="E5:I5"/>
    <mergeCell ref="K5:O5"/>
    <mergeCell ref="R5:W5"/>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994"/>
  <sheetViews>
    <sheetView showGridLines="0" topLeftCell="A32" zoomScale="88" zoomScaleNormal="88" workbookViewId="0">
      <selection activeCell="G34" sqref="G34:K34"/>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196" t="s">
        <v>93</v>
      </c>
      <c r="B1" s="197"/>
      <c r="C1" s="197"/>
      <c r="D1" s="197"/>
      <c r="E1" s="197"/>
      <c r="F1" s="197"/>
      <c r="G1" s="197"/>
      <c r="H1" s="197"/>
      <c r="I1" s="197"/>
      <c r="J1" s="197"/>
      <c r="K1" s="197"/>
      <c r="L1" s="197"/>
      <c r="M1" s="197"/>
      <c r="N1" s="197"/>
      <c r="O1" s="197"/>
      <c r="P1" s="197"/>
      <c r="Q1" s="197"/>
      <c r="R1" s="197"/>
      <c r="S1" s="197"/>
      <c r="T1" s="197"/>
      <c r="U1" s="197"/>
      <c r="V1" s="197"/>
      <c r="W1" s="197"/>
      <c r="X1" s="198"/>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21" t="s">
        <v>6</v>
      </c>
      <c r="B4" s="201"/>
      <c r="C4" s="202"/>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203"/>
      <c r="B5" s="204"/>
      <c r="C5" s="205"/>
      <c r="D5" s="6"/>
      <c r="E5" s="317" t="str">
        <f>'1. Résumé'!E6</f>
        <v>FKT 09/12 Manometinay</v>
      </c>
      <c r="F5" s="197"/>
      <c r="G5" s="197"/>
      <c r="H5" s="197"/>
      <c r="I5" s="198"/>
      <c r="J5" s="7"/>
      <c r="K5" s="237" t="str">
        <f>'1. Résumé'!G8</f>
        <v>Pays : Madagascar</v>
      </c>
      <c r="L5" s="197"/>
      <c r="M5" s="197"/>
      <c r="N5" s="197"/>
      <c r="O5" s="198"/>
      <c r="P5" s="7"/>
      <c r="Q5" s="7"/>
      <c r="R5" s="237" t="str">
        <f>'1. Résumé'!E10</f>
        <v>Société nationale : Croix-Rouge Malagasy</v>
      </c>
      <c r="S5" s="197"/>
      <c r="T5" s="197"/>
      <c r="U5" s="197"/>
      <c r="V5" s="198"/>
      <c r="W5" s="7"/>
      <c r="X5" s="7"/>
      <c r="Y5" s="3"/>
      <c r="Z5" s="3"/>
      <c r="AA5" s="3"/>
      <c r="AB5" s="3"/>
    </row>
    <row r="6" spans="1:28" ht="9.75" customHeight="1" x14ac:dyDescent="0.3">
      <c r="A6" s="206"/>
      <c r="B6" s="207"/>
      <c r="C6" s="208"/>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71" t="s">
        <v>94</v>
      </c>
      <c r="B8" s="197"/>
      <c r="C8" s="197"/>
      <c r="D8" s="197"/>
      <c r="E8" s="197"/>
      <c r="F8" s="197"/>
      <c r="G8" s="197"/>
      <c r="H8" s="197"/>
      <c r="I8" s="197"/>
      <c r="J8" s="197"/>
      <c r="K8" s="197"/>
      <c r="L8" s="197"/>
      <c r="M8" s="197"/>
      <c r="N8" s="197"/>
      <c r="O8" s="197"/>
      <c r="P8" s="197"/>
      <c r="Q8" s="197"/>
      <c r="R8" s="197"/>
      <c r="S8" s="197"/>
      <c r="T8" s="197"/>
      <c r="U8" s="197"/>
      <c r="V8" s="197"/>
      <c r="W8" s="197"/>
      <c r="X8" s="198"/>
      <c r="Y8" s="3"/>
      <c r="Z8" s="3"/>
      <c r="AA8" s="3"/>
      <c r="AB8" s="3" t="s">
        <v>13</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22" t="s">
        <v>95</v>
      </c>
      <c r="D10" s="197"/>
      <c r="E10" s="197"/>
      <c r="F10" s="197"/>
      <c r="G10" s="197"/>
      <c r="H10" s="197"/>
      <c r="I10" s="197"/>
      <c r="J10" s="197"/>
      <c r="K10" s="197"/>
      <c r="L10" s="197"/>
      <c r="M10" s="197"/>
      <c r="N10" s="197"/>
      <c r="O10" s="197"/>
      <c r="P10" s="197"/>
      <c r="Q10" s="197"/>
      <c r="R10" s="197"/>
      <c r="S10" s="197"/>
      <c r="T10" s="197"/>
      <c r="U10" s="197"/>
      <c r="V10" s="198"/>
      <c r="W10" s="3"/>
      <c r="X10" s="4"/>
      <c r="Y10" s="3"/>
      <c r="Z10" s="3"/>
      <c r="AA10" s="3"/>
      <c r="AB10" s="3"/>
    </row>
    <row r="11" spans="1:28" ht="9.75" customHeight="1" x14ac:dyDescent="0.3">
      <c r="A11" s="4"/>
      <c r="B11" s="3"/>
      <c r="C11" s="3" t="s">
        <v>13</v>
      </c>
      <c r="D11" s="3"/>
      <c r="E11" s="3"/>
      <c r="F11" s="3"/>
      <c r="G11" s="3"/>
      <c r="H11" s="3" t="s">
        <v>13</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41" t="s">
        <v>214</v>
      </c>
      <c r="D12" s="242"/>
      <c r="E12" s="242"/>
      <c r="F12" s="242"/>
      <c r="G12" s="242"/>
      <c r="H12" s="242"/>
      <c r="I12" s="242"/>
      <c r="J12" s="242"/>
      <c r="K12" s="242"/>
      <c r="L12" s="242"/>
      <c r="M12" s="242"/>
      <c r="N12" s="242"/>
      <c r="O12" s="242"/>
      <c r="P12" s="242"/>
      <c r="Q12" s="242"/>
      <c r="R12" s="242"/>
      <c r="S12" s="242"/>
      <c r="T12" s="242"/>
      <c r="U12" s="242"/>
      <c r="V12" s="243"/>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96</v>
      </c>
      <c r="B14" s="3"/>
      <c r="C14" s="318" t="s">
        <v>97</v>
      </c>
      <c r="D14" s="197"/>
      <c r="E14" s="197"/>
      <c r="F14" s="197"/>
      <c r="G14" s="197"/>
      <c r="H14" s="197"/>
      <c r="I14" s="197"/>
      <c r="J14" s="197"/>
      <c r="K14" s="198"/>
      <c r="L14" s="85"/>
      <c r="M14" s="318" t="s">
        <v>98</v>
      </c>
      <c r="N14" s="197"/>
      <c r="O14" s="197"/>
      <c r="P14" s="197"/>
      <c r="Q14" s="197"/>
      <c r="R14" s="197"/>
      <c r="S14" s="197"/>
      <c r="T14" s="197"/>
      <c r="U14" s="197"/>
      <c r="V14" s="198"/>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99</v>
      </c>
      <c r="D16" s="86"/>
      <c r="E16" s="241" t="s">
        <v>215</v>
      </c>
      <c r="F16" s="263"/>
      <c r="G16" s="263"/>
      <c r="H16" s="263"/>
      <c r="I16" s="263"/>
      <c r="J16" s="263"/>
      <c r="K16" s="264"/>
      <c r="L16" s="3"/>
      <c r="M16" s="87" t="s">
        <v>99</v>
      </c>
      <c r="N16" s="88"/>
      <c r="O16" s="241" t="s">
        <v>217</v>
      </c>
      <c r="P16" s="263"/>
      <c r="Q16" s="263"/>
      <c r="R16" s="263"/>
      <c r="S16" s="263"/>
      <c r="T16" s="263"/>
      <c r="U16" s="263"/>
      <c r="V16" s="264"/>
      <c r="W16" s="3"/>
      <c r="X16" s="4"/>
      <c r="Y16" s="3"/>
      <c r="Z16" s="3"/>
      <c r="AA16" s="3"/>
      <c r="AB16" s="3"/>
    </row>
    <row r="17" spans="1:28" ht="9.75" customHeight="1" x14ac:dyDescent="0.3">
      <c r="A17" s="4"/>
      <c r="B17" s="3"/>
      <c r="C17" s="88" t="s">
        <v>13</v>
      </c>
      <c r="D17" s="86"/>
      <c r="E17" s="86"/>
      <c r="F17" s="86"/>
      <c r="G17" s="86"/>
      <c r="H17" s="86"/>
      <c r="I17" s="86"/>
      <c r="J17" s="86"/>
      <c r="K17" s="86"/>
      <c r="L17" s="3"/>
      <c r="M17" s="88" t="s">
        <v>13</v>
      </c>
      <c r="N17" s="88"/>
      <c r="O17" s="86"/>
      <c r="P17" s="86"/>
      <c r="Q17" s="86"/>
      <c r="R17" s="86"/>
      <c r="S17" s="86"/>
      <c r="T17" s="86"/>
      <c r="U17" s="86"/>
      <c r="V17" s="86"/>
      <c r="W17" s="3"/>
      <c r="X17" s="4"/>
      <c r="Y17" s="3"/>
      <c r="Z17" s="3"/>
      <c r="AA17" s="3"/>
      <c r="AB17" s="3"/>
    </row>
    <row r="18" spans="1:28" ht="49.5" customHeight="1" x14ac:dyDescent="0.3">
      <c r="A18" s="4"/>
      <c r="B18" s="3"/>
      <c r="C18" s="87" t="s">
        <v>101</v>
      </c>
      <c r="D18" s="86"/>
      <c r="E18" s="241" t="s">
        <v>216</v>
      </c>
      <c r="F18" s="263"/>
      <c r="G18" s="263"/>
      <c r="H18" s="263"/>
      <c r="I18" s="263"/>
      <c r="J18" s="263"/>
      <c r="K18" s="264"/>
      <c r="L18" s="3"/>
      <c r="M18" s="87" t="s">
        <v>101</v>
      </c>
      <c r="N18" s="88"/>
      <c r="O18" s="241" t="s">
        <v>221</v>
      </c>
      <c r="P18" s="242"/>
      <c r="Q18" s="242"/>
      <c r="R18" s="242"/>
      <c r="S18" s="242"/>
      <c r="T18" s="242"/>
      <c r="U18" s="242"/>
      <c r="V18" s="243"/>
      <c r="W18" s="3"/>
      <c r="X18" s="4"/>
      <c r="Y18" s="3"/>
      <c r="Z18" s="3"/>
      <c r="AA18" s="3"/>
      <c r="AB18" s="3"/>
    </row>
    <row r="19" spans="1:28" ht="9.75" customHeight="1" x14ac:dyDescent="0.3">
      <c r="A19" s="4"/>
      <c r="B19" s="3"/>
      <c r="C19" s="88" t="s">
        <v>13</v>
      </c>
      <c r="D19" s="86"/>
      <c r="E19" s="86"/>
      <c r="F19" s="86"/>
      <c r="G19" s="86"/>
      <c r="H19" s="86"/>
      <c r="I19" s="86"/>
      <c r="J19" s="86"/>
      <c r="K19" s="86"/>
      <c r="L19" s="3"/>
      <c r="M19" s="88" t="s">
        <v>13</v>
      </c>
      <c r="N19" s="88"/>
      <c r="O19" s="86"/>
      <c r="P19" s="86"/>
      <c r="Q19" s="86"/>
      <c r="R19" s="86"/>
      <c r="S19" s="86"/>
      <c r="T19" s="86"/>
      <c r="U19" s="86"/>
      <c r="V19" s="86"/>
      <c r="W19" s="3"/>
      <c r="X19" s="4"/>
      <c r="Y19" s="3"/>
      <c r="Z19" s="3"/>
      <c r="AA19" s="3"/>
      <c r="AB19" s="3"/>
    </row>
    <row r="20" spans="1:28" ht="49.5" customHeight="1" x14ac:dyDescent="0.3">
      <c r="A20" s="4"/>
      <c r="B20" s="3"/>
      <c r="C20" s="87" t="s">
        <v>102</v>
      </c>
      <c r="D20" s="86"/>
      <c r="E20" s="241" t="s">
        <v>100</v>
      </c>
      <c r="F20" s="263"/>
      <c r="G20" s="263"/>
      <c r="H20" s="263"/>
      <c r="I20" s="263"/>
      <c r="J20" s="263"/>
      <c r="K20" s="264"/>
      <c r="L20" s="3"/>
      <c r="M20" s="87" t="s">
        <v>102</v>
      </c>
      <c r="N20" s="88"/>
      <c r="O20" s="289" t="s">
        <v>100</v>
      </c>
      <c r="P20" s="263"/>
      <c r="Q20" s="263"/>
      <c r="R20" s="263"/>
      <c r="S20" s="263"/>
      <c r="T20" s="263"/>
      <c r="U20" s="263"/>
      <c r="V20" s="264"/>
      <c r="W20" s="3"/>
      <c r="X20" s="4"/>
      <c r="Y20" s="3"/>
      <c r="Z20" s="3"/>
      <c r="AA20" s="3"/>
      <c r="AB20" s="3"/>
    </row>
    <row r="21" spans="1:28" ht="9.75" customHeight="1" x14ac:dyDescent="0.3">
      <c r="A21" s="4"/>
      <c r="B21" s="3"/>
      <c r="C21" s="88" t="s">
        <v>13</v>
      </c>
      <c r="D21" s="86"/>
      <c r="E21" s="86"/>
      <c r="F21" s="86"/>
      <c r="G21" s="86"/>
      <c r="H21" s="86"/>
      <c r="I21" s="86"/>
      <c r="J21" s="86"/>
      <c r="K21" s="86"/>
      <c r="L21" s="3"/>
      <c r="M21" s="88" t="s">
        <v>13</v>
      </c>
      <c r="N21" s="88"/>
      <c r="O21" s="86"/>
      <c r="P21" s="86"/>
      <c r="Q21" s="86"/>
      <c r="R21" s="86"/>
      <c r="S21" s="86"/>
      <c r="T21" s="86"/>
      <c r="U21" s="86"/>
      <c r="V21" s="86"/>
      <c r="W21" s="3"/>
      <c r="X21" s="4"/>
      <c r="Y21" s="3"/>
      <c r="Z21" s="3"/>
      <c r="AA21" s="3"/>
      <c r="AB21" s="3"/>
    </row>
    <row r="22" spans="1:28" ht="49.5" customHeight="1" x14ac:dyDescent="0.3">
      <c r="A22" s="4"/>
      <c r="B22" s="3"/>
      <c r="C22" s="87" t="s">
        <v>103</v>
      </c>
      <c r="D22" s="86"/>
      <c r="E22" s="241" t="s">
        <v>100</v>
      </c>
      <c r="F22" s="263"/>
      <c r="G22" s="263"/>
      <c r="H22" s="263"/>
      <c r="I22" s="263"/>
      <c r="J22" s="263"/>
      <c r="K22" s="264"/>
      <c r="L22" s="3"/>
      <c r="M22" s="87" t="s">
        <v>103</v>
      </c>
      <c r="N22" s="88"/>
      <c r="O22" s="289" t="s">
        <v>100</v>
      </c>
      <c r="P22" s="263"/>
      <c r="Q22" s="263"/>
      <c r="R22" s="263"/>
      <c r="S22" s="263"/>
      <c r="T22" s="263"/>
      <c r="U22" s="263"/>
      <c r="V22" s="264"/>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
        <v>262</v>
      </c>
      <c r="D24" s="89"/>
      <c r="E24" s="319"/>
      <c r="F24" s="197"/>
      <c r="G24" s="197"/>
      <c r="H24" s="197"/>
      <c r="I24" s="197"/>
      <c r="J24" s="197"/>
      <c r="K24" s="198"/>
      <c r="L24" s="90"/>
      <c r="M24" s="91"/>
      <c r="N24" s="90"/>
      <c r="O24" s="90"/>
      <c r="P24" s="90"/>
      <c r="Q24" s="90"/>
      <c r="R24" s="90"/>
      <c r="S24" s="90"/>
      <c r="T24" s="90"/>
      <c r="U24" s="90"/>
      <c r="V24" s="90"/>
      <c r="W24" s="3"/>
      <c r="X24" s="4"/>
      <c r="Y24" s="3"/>
      <c r="Z24" s="3"/>
      <c r="AA24" s="3"/>
      <c r="AB24" s="3"/>
    </row>
    <row r="25" spans="1:28" ht="12" customHeight="1" x14ac:dyDescent="0.3">
      <c r="A25" s="4"/>
      <c r="B25" s="3"/>
      <c r="C25" s="320"/>
      <c r="D25" s="217"/>
      <c r="E25" s="217"/>
      <c r="F25" s="217"/>
      <c r="G25" s="217"/>
      <c r="H25" s="217"/>
      <c r="I25" s="217"/>
      <c r="J25" s="217"/>
      <c r="K25" s="217"/>
      <c r="L25" s="217"/>
      <c r="M25" s="217"/>
      <c r="N25" s="217"/>
      <c r="O25" s="217"/>
      <c r="P25" s="217"/>
      <c r="Q25" s="217"/>
      <c r="R25" s="217"/>
      <c r="S25" s="217"/>
      <c r="T25" s="217"/>
      <c r="U25" s="217"/>
      <c r="V25" s="218"/>
      <c r="W25" s="3"/>
      <c r="X25" s="4"/>
      <c r="Y25" s="3"/>
      <c r="Z25" s="3"/>
      <c r="AA25" s="3"/>
      <c r="AB25" s="3"/>
    </row>
    <row r="26" spans="1:28" ht="31.5" customHeight="1" x14ac:dyDescent="0.3">
      <c r="A26" s="4"/>
      <c r="B26" s="3"/>
      <c r="C26" s="321" t="s">
        <v>104</v>
      </c>
      <c r="D26" s="217"/>
      <c r="E26" s="217"/>
      <c r="F26" s="217"/>
      <c r="G26" s="217"/>
      <c r="H26" s="217"/>
      <c r="I26" s="217"/>
      <c r="J26" s="217"/>
      <c r="K26" s="217"/>
      <c r="L26" s="217"/>
      <c r="M26" s="217"/>
      <c r="N26" s="217"/>
      <c r="O26" s="217"/>
      <c r="P26" s="217"/>
      <c r="Q26" s="217"/>
      <c r="R26" s="217"/>
      <c r="S26" s="217"/>
      <c r="T26" s="217"/>
      <c r="U26" s="217"/>
      <c r="V26" s="218"/>
      <c r="W26" s="3"/>
      <c r="X26" s="4"/>
      <c r="Y26" s="3"/>
      <c r="Z26" s="3"/>
      <c r="AA26" s="3"/>
      <c r="AB26" s="3"/>
    </row>
    <row r="27" spans="1:28" ht="12" customHeight="1" x14ac:dyDescent="0.3">
      <c r="A27" s="4"/>
      <c r="B27" s="3"/>
      <c r="C27" s="320"/>
      <c r="D27" s="217"/>
      <c r="E27" s="217"/>
      <c r="F27" s="217"/>
      <c r="G27" s="217"/>
      <c r="H27" s="217"/>
      <c r="I27" s="217"/>
      <c r="J27" s="217"/>
      <c r="K27" s="217"/>
      <c r="L27" s="217"/>
      <c r="M27" s="217"/>
      <c r="N27" s="217"/>
      <c r="O27" s="217"/>
      <c r="P27" s="217"/>
      <c r="Q27" s="217"/>
      <c r="R27" s="217"/>
      <c r="S27" s="217"/>
      <c r="T27" s="217"/>
      <c r="U27" s="217"/>
      <c r="V27" s="218"/>
      <c r="W27" s="3"/>
      <c r="X27" s="4"/>
      <c r="Y27" s="3"/>
      <c r="Z27" s="3"/>
      <c r="AA27" s="3"/>
      <c r="AB27" s="3"/>
    </row>
    <row r="28" spans="1:28" ht="49.5" customHeight="1" thickBot="1" x14ac:dyDescent="0.35">
      <c r="A28" s="4"/>
      <c r="B28" s="3"/>
      <c r="C28" s="326" t="s">
        <v>17</v>
      </c>
      <c r="D28" s="217"/>
      <c r="E28" s="218"/>
      <c r="F28" s="29"/>
      <c r="G28" s="327" t="s">
        <v>105</v>
      </c>
      <c r="H28" s="224"/>
      <c r="I28" s="224"/>
      <c r="J28" s="224"/>
      <c r="K28" s="328"/>
      <c r="L28" s="29"/>
      <c r="M28" s="327" t="s">
        <v>218</v>
      </c>
      <c r="N28" s="224"/>
      <c r="O28" s="224"/>
      <c r="P28" s="224"/>
      <c r="Q28" s="224"/>
      <c r="R28" s="328"/>
      <c r="S28" s="327" t="s">
        <v>106</v>
      </c>
      <c r="T28" s="224"/>
      <c r="U28" s="328"/>
      <c r="V28" s="92" t="s">
        <v>107</v>
      </c>
      <c r="W28" s="3"/>
      <c r="X28" s="4"/>
      <c r="Y28" s="3"/>
      <c r="Z28" s="3"/>
      <c r="AA28" s="3"/>
      <c r="AB28" s="3"/>
    </row>
    <row r="29" spans="1:28" ht="52.5" customHeight="1" thickBot="1" x14ac:dyDescent="0.35">
      <c r="A29" s="4"/>
      <c r="B29" s="3"/>
      <c r="C29" s="329" t="s">
        <v>19</v>
      </c>
      <c r="D29" s="217"/>
      <c r="E29" s="218"/>
      <c r="F29" s="39"/>
      <c r="G29" s="241"/>
      <c r="H29" s="263"/>
      <c r="I29" s="263"/>
      <c r="J29" s="263"/>
      <c r="K29" s="264"/>
      <c r="L29" s="93"/>
      <c r="M29" s="322"/>
      <c r="N29" s="323"/>
      <c r="O29" s="323"/>
      <c r="P29" s="323"/>
      <c r="Q29" s="323"/>
      <c r="R29" s="324"/>
      <c r="S29" s="325" t="s">
        <v>121</v>
      </c>
      <c r="T29" s="263"/>
      <c r="U29" s="264"/>
      <c r="V29" s="94" t="e">
        <f t="shared" ref="V29:V37" si="0">IF(S29="---","",VLOOKUP(S29,$C$63:$D$66,2,FALSE))</f>
        <v>#N/A</v>
      </c>
      <c r="W29" s="3"/>
      <c r="X29" s="4"/>
      <c r="Y29" s="3"/>
      <c r="Z29" s="3"/>
      <c r="AA29" s="3"/>
      <c r="AB29" s="3"/>
    </row>
    <row r="30" spans="1:28" ht="49.5" customHeight="1" thickBot="1" x14ac:dyDescent="0.35">
      <c r="A30" s="4"/>
      <c r="B30" s="3"/>
      <c r="C30" s="330" t="s">
        <v>20</v>
      </c>
      <c r="D30" s="217"/>
      <c r="E30" s="218"/>
      <c r="F30" s="39"/>
      <c r="G30" s="268" t="s">
        <v>319</v>
      </c>
      <c r="H30" s="263"/>
      <c r="I30" s="263"/>
      <c r="J30" s="263"/>
      <c r="K30" s="264"/>
      <c r="L30" s="93"/>
      <c r="M30" s="268" t="s">
        <v>295</v>
      </c>
      <c r="N30" s="263"/>
      <c r="O30" s="263"/>
      <c r="P30" s="263"/>
      <c r="Q30" s="263"/>
      <c r="R30" s="264"/>
      <c r="S30" s="316" t="s">
        <v>108</v>
      </c>
      <c r="T30" s="263"/>
      <c r="U30" s="264"/>
      <c r="V30" s="94" t="e">
        <f t="shared" si="0"/>
        <v>#N/A</v>
      </c>
      <c r="W30" s="3"/>
      <c r="X30" s="4"/>
      <c r="Y30" s="3"/>
      <c r="Z30" s="3"/>
      <c r="AA30" s="3"/>
      <c r="AB30" s="3"/>
    </row>
    <row r="31" spans="1:28" ht="49.5" customHeight="1" thickBot="1" x14ac:dyDescent="0.35">
      <c r="A31" s="4"/>
      <c r="B31" s="3"/>
      <c r="C31" s="329" t="s">
        <v>21</v>
      </c>
      <c r="D31" s="217"/>
      <c r="E31" s="218"/>
      <c r="F31" s="39"/>
      <c r="G31" s="241" t="s">
        <v>336</v>
      </c>
      <c r="H31" s="263"/>
      <c r="I31" s="263"/>
      <c r="J31" s="263"/>
      <c r="K31" s="264"/>
      <c r="L31" s="93"/>
      <c r="M31" s="334" t="s">
        <v>296</v>
      </c>
      <c r="N31" s="335"/>
      <c r="O31" s="335"/>
      <c r="P31" s="335"/>
      <c r="Q31" s="335"/>
      <c r="R31" s="336"/>
      <c r="S31" s="325" t="s">
        <v>109</v>
      </c>
      <c r="T31" s="263"/>
      <c r="U31" s="264"/>
      <c r="V31" s="94" t="e">
        <f t="shared" si="0"/>
        <v>#N/A</v>
      </c>
      <c r="W31" s="3"/>
      <c r="X31" s="4"/>
      <c r="Y31" s="3"/>
      <c r="Z31" s="3"/>
      <c r="AA31" s="3"/>
      <c r="AB31" s="3"/>
    </row>
    <row r="32" spans="1:28" ht="49.5" customHeight="1" thickBot="1" x14ac:dyDescent="0.35">
      <c r="A32" s="4"/>
      <c r="B32" s="3"/>
      <c r="C32" s="330" t="s">
        <v>110</v>
      </c>
      <c r="D32" s="217"/>
      <c r="E32" s="218"/>
      <c r="F32" s="39"/>
      <c r="G32" s="268" t="s">
        <v>225</v>
      </c>
      <c r="H32" s="263"/>
      <c r="I32" s="263"/>
      <c r="J32" s="263"/>
      <c r="K32" s="264"/>
      <c r="L32" s="93"/>
      <c r="M32" s="268"/>
      <c r="N32" s="263"/>
      <c r="O32" s="263"/>
      <c r="P32" s="263"/>
      <c r="Q32" s="263"/>
      <c r="R32" s="264"/>
      <c r="S32" s="316" t="s">
        <v>108</v>
      </c>
      <c r="T32" s="263"/>
      <c r="U32" s="264"/>
      <c r="V32" s="94" t="e">
        <f t="shared" si="0"/>
        <v>#N/A</v>
      </c>
      <c r="W32" s="3"/>
      <c r="X32" s="4"/>
      <c r="Y32" s="3"/>
      <c r="Z32" s="3"/>
      <c r="AA32" s="3"/>
      <c r="AB32" s="3"/>
    </row>
    <row r="33" spans="1:28" ht="49.5" customHeight="1" x14ac:dyDescent="0.3">
      <c r="A33" s="4"/>
      <c r="B33" s="3"/>
      <c r="C33" s="329" t="s">
        <v>23</v>
      </c>
      <c r="D33" s="217"/>
      <c r="E33" s="218"/>
      <c r="F33" s="39"/>
      <c r="G33" s="241" t="s">
        <v>239</v>
      </c>
      <c r="H33" s="263"/>
      <c r="I33" s="263"/>
      <c r="J33" s="263"/>
      <c r="K33" s="264"/>
      <c r="L33" s="93"/>
      <c r="M33" s="241" t="s">
        <v>297</v>
      </c>
      <c r="N33" s="263"/>
      <c r="O33" s="263"/>
      <c r="P33" s="263"/>
      <c r="Q33" s="263"/>
      <c r="R33" s="264"/>
      <c r="S33" s="325" t="s">
        <v>109</v>
      </c>
      <c r="T33" s="263"/>
      <c r="U33" s="264"/>
      <c r="V33" s="94" t="e">
        <f t="shared" si="0"/>
        <v>#N/A</v>
      </c>
      <c r="W33" s="3"/>
      <c r="X33" s="4"/>
      <c r="Y33" s="3"/>
      <c r="Z33" s="3"/>
      <c r="AA33" s="3"/>
      <c r="AB33" s="3"/>
    </row>
    <row r="34" spans="1:28" ht="56.25" customHeight="1" x14ac:dyDescent="0.3">
      <c r="A34" s="4"/>
      <c r="B34" s="3"/>
      <c r="C34" s="330" t="s">
        <v>112</v>
      </c>
      <c r="D34" s="217"/>
      <c r="E34" s="218"/>
      <c r="F34" s="39"/>
      <c r="G34" s="268" t="s">
        <v>240</v>
      </c>
      <c r="H34" s="263"/>
      <c r="I34" s="263"/>
      <c r="J34" s="263"/>
      <c r="K34" s="264"/>
      <c r="L34" s="93"/>
      <c r="M34" s="268" t="s">
        <v>298</v>
      </c>
      <c r="N34" s="263"/>
      <c r="O34" s="263"/>
      <c r="P34" s="263"/>
      <c r="Q34" s="263"/>
      <c r="R34" s="264"/>
      <c r="S34" s="316" t="s">
        <v>109</v>
      </c>
      <c r="T34" s="263"/>
      <c r="U34" s="264"/>
      <c r="V34" s="94" t="e">
        <f t="shared" si="0"/>
        <v>#N/A</v>
      </c>
      <c r="W34" s="3"/>
      <c r="X34" s="4"/>
      <c r="Y34" s="3"/>
      <c r="Z34" s="3"/>
      <c r="AA34" s="3"/>
      <c r="AB34" s="3"/>
    </row>
    <row r="35" spans="1:28" ht="49.5" customHeight="1" thickBot="1" x14ac:dyDescent="0.35">
      <c r="A35" s="4"/>
      <c r="B35" s="3"/>
      <c r="C35" s="329" t="s">
        <v>113</v>
      </c>
      <c r="D35" s="217"/>
      <c r="E35" s="218"/>
      <c r="F35" s="39"/>
      <c r="G35" s="241"/>
      <c r="H35" s="263"/>
      <c r="I35" s="263"/>
      <c r="J35" s="263"/>
      <c r="K35" s="264"/>
      <c r="L35" s="93"/>
      <c r="M35" s="241"/>
      <c r="N35" s="263"/>
      <c r="O35" s="263"/>
      <c r="P35" s="263"/>
      <c r="Q35" s="263"/>
      <c r="R35" s="264"/>
      <c r="S35" s="325" t="s">
        <v>108</v>
      </c>
      <c r="T35" s="263"/>
      <c r="U35" s="264"/>
      <c r="V35" s="94" t="e">
        <f t="shared" si="0"/>
        <v>#N/A</v>
      </c>
      <c r="W35" s="3"/>
      <c r="X35" s="4"/>
      <c r="Y35" s="3"/>
      <c r="Z35" s="3"/>
      <c r="AA35" s="3"/>
      <c r="AB35" s="3"/>
    </row>
    <row r="36" spans="1:28" ht="49.5" customHeight="1" thickBot="1" x14ac:dyDescent="0.35">
      <c r="A36" s="4"/>
      <c r="B36" s="3"/>
      <c r="C36" s="330" t="s">
        <v>114</v>
      </c>
      <c r="D36" s="217"/>
      <c r="E36" s="218"/>
      <c r="F36" s="39"/>
      <c r="G36" s="333" t="s">
        <v>321</v>
      </c>
      <c r="H36" s="263"/>
      <c r="I36" s="263"/>
      <c r="J36" s="263"/>
      <c r="K36" s="264"/>
      <c r="L36" s="93"/>
      <c r="M36" s="313" t="s">
        <v>299</v>
      </c>
      <c r="N36" s="314"/>
      <c r="O36" s="314"/>
      <c r="P36" s="314"/>
      <c r="Q36" s="314"/>
      <c r="R36" s="315"/>
      <c r="S36" s="316" t="s">
        <v>108</v>
      </c>
      <c r="T36" s="263"/>
      <c r="U36" s="264"/>
      <c r="V36" s="94" t="e">
        <f t="shared" si="0"/>
        <v>#N/A</v>
      </c>
      <c r="W36" s="3"/>
      <c r="X36" s="4"/>
      <c r="Y36" s="3"/>
      <c r="Z36" s="3"/>
      <c r="AA36" s="3"/>
      <c r="AB36" s="3"/>
    </row>
    <row r="37" spans="1:28" ht="49.5" hidden="1" customHeight="1" x14ac:dyDescent="0.3">
      <c r="A37" s="4"/>
      <c r="B37" s="3"/>
      <c r="C37" s="330" t="s">
        <v>115</v>
      </c>
      <c r="D37" s="217"/>
      <c r="E37" s="218"/>
      <c r="F37" s="39"/>
      <c r="G37" s="332" t="e">
        <f t="shared" ref="G37" si="1">#REF!</f>
        <v>#REF!</v>
      </c>
      <c r="H37" s="263"/>
      <c r="I37" s="263"/>
      <c r="J37" s="263"/>
      <c r="K37" s="264"/>
      <c r="L37" s="93"/>
      <c r="M37" s="332" t="e">
        <f t="shared" ref="M37" si="2">#REF!</f>
        <v>#REF!</v>
      </c>
      <c r="N37" s="263"/>
      <c r="O37" s="263"/>
      <c r="P37" s="263"/>
      <c r="Q37" s="263"/>
      <c r="R37" s="264"/>
      <c r="S37" s="316" t="e">
        <f t="shared" ref="S37" si="3">#REF!</f>
        <v>#REF!</v>
      </c>
      <c r="T37" s="263"/>
      <c r="U37" s="264"/>
      <c r="V37" s="94" t="e">
        <f t="shared" si="0"/>
        <v>#REF!</v>
      </c>
      <c r="W37" s="3"/>
      <c r="X37" s="4"/>
      <c r="Y37" s="3"/>
      <c r="Z37" s="3"/>
      <c r="AA37" s="3"/>
      <c r="AB37" s="3"/>
    </row>
    <row r="38" spans="1:28" ht="12" customHeight="1" x14ac:dyDescent="0.3">
      <c r="A38" s="4"/>
      <c r="B38" s="3"/>
      <c r="C38" s="3"/>
      <c r="D38" s="3"/>
      <c r="E38" s="3"/>
      <c r="F38" s="3"/>
      <c r="G38" s="3"/>
      <c r="H38" s="3"/>
      <c r="I38" s="3"/>
      <c r="J38" s="3"/>
      <c r="K38" s="3"/>
      <c r="L38" s="3"/>
      <c r="M38" s="3"/>
      <c r="N38" s="3"/>
      <c r="O38" s="3"/>
      <c r="P38" s="3"/>
      <c r="Q38" s="3"/>
      <c r="R38" s="3"/>
      <c r="S38" s="3"/>
      <c r="T38" s="3"/>
      <c r="U38" s="3"/>
      <c r="V38" s="3"/>
      <c r="W38" s="3"/>
      <c r="X38" s="4"/>
      <c r="Y38" s="3"/>
      <c r="Z38" s="3"/>
      <c r="AA38" s="3"/>
      <c r="AB38" s="3"/>
    </row>
    <row r="39" spans="1:28" ht="31.5" customHeight="1" x14ac:dyDescent="0.3">
      <c r="A39" s="4"/>
      <c r="B39" s="3"/>
      <c r="C39" s="95" t="str">
        <f>'3. Dangers'!M16</f>
        <v>Innondation</v>
      </c>
      <c r="D39" s="96"/>
      <c r="E39" s="199"/>
      <c r="F39" s="197"/>
      <c r="G39" s="197"/>
      <c r="H39" s="197"/>
      <c r="I39" s="197"/>
      <c r="J39" s="197"/>
      <c r="K39" s="198"/>
      <c r="L39" s="97"/>
      <c r="M39" s="98"/>
      <c r="N39" s="97"/>
      <c r="O39" s="97"/>
      <c r="P39" s="97"/>
      <c r="Q39" s="97"/>
      <c r="R39" s="97"/>
      <c r="S39" s="97"/>
      <c r="T39" s="97"/>
      <c r="U39" s="97"/>
      <c r="V39" s="97"/>
      <c r="W39" s="3"/>
      <c r="X39" s="4"/>
      <c r="Y39" s="3"/>
      <c r="Z39" s="3"/>
      <c r="AA39" s="3"/>
      <c r="AB39" s="3"/>
    </row>
    <row r="40" spans="1:28" ht="12" customHeight="1" x14ac:dyDescent="0.3">
      <c r="A40" s="4"/>
      <c r="B40" s="3"/>
      <c r="C40" s="320"/>
      <c r="D40" s="217"/>
      <c r="E40" s="217"/>
      <c r="F40" s="217"/>
      <c r="G40" s="217"/>
      <c r="H40" s="217"/>
      <c r="I40" s="217"/>
      <c r="J40" s="217"/>
      <c r="K40" s="217"/>
      <c r="L40" s="217"/>
      <c r="M40" s="217"/>
      <c r="N40" s="217"/>
      <c r="O40" s="217"/>
      <c r="P40" s="217"/>
      <c r="Q40" s="217"/>
      <c r="R40" s="217"/>
      <c r="S40" s="217"/>
      <c r="T40" s="217"/>
      <c r="U40" s="217"/>
      <c r="V40" s="218"/>
      <c r="W40" s="3"/>
      <c r="X40" s="4"/>
      <c r="Y40" s="3"/>
      <c r="Z40" s="3"/>
      <c r="AA40" s="3"/>
      <c r="AB40" s="3"/>
    </row>
    <row r="41" spans="1:28" ht="51.75" customHeight="1" thickBot="1" x14ac:dyDescent="0.35">
      <c r="A41" s="4"/>
      <c r="B41" s="3"/>
      <c r="C41" s="326" t="s">
        <v>17</v>
      </c>
      <c r="D41" s="217"/>
      <c r="E41" s="218"/>
      <c r="F41" s="29"/>
      <c r="G41" s="327" t="s">
        <v>117</v>
      </c>
      <c r="H41" s="224"/>
      <c r="I41" s="224"/>
      <c r="J41" s="224"/>
      <c r="K41" s="328"/>
      <c r="L41" s="29"/>
      <c r="M41" s="327" t="s">
        <v>218</v>
      </c>
      <c r="N41" s="224"/>
      <c r="O41" s="224"/>
      <c r="P41" s="224"/>
      <c r="Q41" s="224"/>
      <c r="R41" s="328"/>
      <c r="S41" s="327" t="s">
        <v>118</v>
      </c>
      <c r="T41" s="224"/>
      <c r="U41" s="328"/>
      <c r="V41" s="92" t="s">
        <v>107</v>
      </c>
      <c r="W41" s="3"/>
      <c r="X41" s="4"/>
      <c r="Y41" s="3"/>
      <c r="Z41" s="3"/>
      <c r="AA41" s="3"/>
      <c r="AB41" s="3"/>
    </row>
    <row r="42" spans="1:28" ht="66" customHeight="1" thickBot="1" x14ac:dyDescent="0.35">
      <c r="A42" s="4"/>
      <c r="B42" s="3"/>
      <c r="C42" s="329" t="s">
        <v>19</v>
      </c>
      <c r="D42" s="217"/>
      <c r="E42" s="218"/>
      <c r="F42" s="39"/>
      <c r="G42" s="241" t="s">
        <v>224</v>
      </c>
      <c r="H42" s="263"/>
      <c r="I42" s="263"/>
      <c r="J42" s="263"/>
      <c r="K42" s="264"/>
      <c r="L42" s="93"/>
      <c r="M42" s="322" t="s">
        <v>241</v>
      </c>
      <c r="N42" s="323"/>
      <c r="O42" s="323"/>
      <c r="P42" s="323"/>
      <c r="Q42" s="323"/>
      <c r="R42" s="324"/>
      <c r="S42" s="337" t="s">
        <v>109</v>
      </c>
      <c r="T42" s="263"/>
      <c r="U42" s="264"/>
      <c r="V42" s="94" t="e">
        <f t="shared" ref="V42:V49" si="4">IF(S42="---","",VLOOKUP(S42,$C$63:$D$66,2,FALSE))</f>
        <v>#N/A</v>
      </c>
      <c r="W42" s="3"/>
      <c r="X42" s="4"/>
      <c r="Y42" s="3"/>
      <c r="Z42" s="3"/>
      <c r="AA42" s="3"/>
      <c r="AB42" s="3"/>
    </row>
    <row r="43" spans="1:28" ht="55.5" customHeight="1" thickBot="1" x14ac:dyDescent="0.35">
      <c r="A43" s="4"/>
      <c r="B43" s="3"/>
      <c r="C43" s="330" t="s">
        <v>20</v>
      </c>
      <c r="D43" s="217"/>
      <c r="E43" s="218"/>
      <c r="F43" s="39"/>
      <c r="G43" s="268" t="s">
        <v>242</v>
      </c>
      <c r="H43" s="263"/>
      <c r="I43" s="263"/>
      <c r="J43" s="263"/>
      <c r="K43" s="264"/>
      <c r="L43" s="93"/>
      <c r="M43" s="268" t="s">
        <v>322</v>
      </c>
      <c r="N43" s="263"/>
      <c r="O43" s="263"/>
      <c r="P43" s="263"/>
      <c r="Q43" s="263"/>
      <c r="R43" s="264"/>
      <c r="S43" s="316" t="s">
        <v>109</v>
      </c>
      <c r="T43" s="263"/>
      <c r="U43" s="264"/>
      <c r="V43" s="94" t="e">
        <f t="shared" si="4"/>
        <v>#N/A</v>
      </c>
      <c r="W43" s="3"/>
      <c r="X43" s="4"/>
      <c r="Y43" s="3"/>
      <c r="Z43" s="3"/>
      <c r="AA43" s="3"/>
      <c r="AB43" s="3"/>
    </row>
    <row r="44" spans="1:28" ht="49.5" customHeight="1" thickBot="1" x14ac:dyDescent="0.35">
      <c r="A44" s="4"/>
      <c r="B44" s="3"/>
      <c r="C44" s="329" t="s">
        <v>21</v>
      </c>
      <c r="D44" s="217"/>
      <c r="E44" s="218"/>
      <c r="F44" s="39"/>
      <c r="G44" s="241" t="s">
        <v>320</v>
      </c>
      <c r="H44" s="263"/>
      <c r="I44" s="263"/>
      <c r="J44" s="263"/>
      <c r="K44" s="264"/>
      <c r="L44" s="93"/>
      <c r="M44" s="268" t="s">
        <v>323</v>
      </c>
      <c r="N44" s="263"/>
      <c r="O44" s="263"/>
      <c r="P44" s="263"/>
      <c r="Q44" s="263"/>
      <c r="R44" s="264"/>
      <c r="S44" s="325" t="s">
        <v>109</v>
      </c>
      <c r="T44" s="263"/>
      <c r="U44" s="264"/>
      <c r="V44" s="94" t="e">
        <f t="shared" si="4"/>
        <v>#N/A</v>
      </c>
      <c r="W44" s="3"/>
      <c r="X44" s="4"/>
      <c r="Y44" s="3"/>
      <c r="Z44" s="3"/>
      <c r="AA44" s="3"/>
      <c r="AB44" s="3"/>
    </row>
    <row r="45" spans="1:28" ht="43.5" customHeight="1" thickBot="1" x14ac:dyDescent="0.35">
      <c r="A45" s="4" t="s">
        <v>13</v>
      </c>
      <c r="B45" s="3"/>
      <c r="C45" s="330" t="s">
        <v>110</v>
      </c>
      <c r="D45" s="217"/>
      <c r="E45" s="218"/>
      <c r="F45" s="39"/>
      <c r="G45" s="268" t="s">
        <v>226</v>
      </c>
      <c r="H45" s="263"/>
      <c r="I45" s="263"/>
      <c r="J45" s="263"/>
      <c r="K45" s="264"/>
      <c r="L45" s="93"/>
      <c r="M45" s="268" t="s">
        <v>291</v>
      </c>
      <c r="N45" s="263"/>
      <c r="O45" s="263"/>
      <c r="P45" s="263"/>
      <c r="Q45" s="263"/>
      <c r="R45" s="264"/>
      <c r="S45" s="316" t="s">
        <v>108</v>
      </c>
      <c r="T45" s="263"/>
      <c r="U45" s="264"/>
      <c r="V45" s="94" t="e">
        <f t="shared" si="4"/>
        <v>#N/A</v>
      </c>
      <c r="W45" s="3"/>
      <c r="X45" s="4"/>
      <c r="Y45" s="3"/>
      <c r="Z45" s="3"/>
      <c r="AA45" s="3"/>
      <c r="AB45" s="3"/>
    </row>
    <row r="46" spans="1:28" ht="81" customHeight="1" thickBot="1" x14ac:dyDescent="0.35">
      <c r="A46" s="4"/>
      <c r="B46" s="3"/>
      <c r="C46" s="329" t="s">
        <v>23</v>
      </c>
      <c r="D46" s="217"/>
      <c r="E46" s="218"/>
      <c r="F46" s="39"/>
      <c r="G46" s="300" t="s">
        <v>325</v>
      </c>
      <c r="H46" s="301"/>
      <c r="I46" s="301"/>
      <c r="J46" s="301"/>
      <c r="K46" s="302"/>
      <c r="L46" s="93"/>
      <c r="M46" s="300" t="s">
        <v>324</v>
      </c>
      <c r="N46" s="301"/>
      <c r="O46" s="301"/>
      <c r="P46" s="301"/>
      <c r="Q46" s="301"/>
      <c r="R46" s="302"/>
      <c r="S46" s="325" t="s">
        <v>109</v>
      </c>
      <c r="T46" s="263"/>
      <c r="U46" s="264"/>
      <c r="V46" s="94" t="e">
        <f t="shared" si="4"/>
        <v>#N/A</v>
      </c>
      <c r="W46" s="3"/>
      <c r="X46" s="4"/>
      <c r="Y46" s="3"/>
      <c r="Z46" s="3"/>
      <c r="AA46" s="3"/>
      <c r="AB46" s="3"/>
    </row>
    <row r="47" spans="1:28" ht="38.25" customHeight="1" thickBot="1" x14ac:dyDescent="0.35">
      <c r="A47" s="4"/>
      <c r="B47" s="3"/>
      <c r="C47" s="330" t="s">
        <v>112</v>
      </c>
      <c r="D47" s="217"/>
      <c r="E47" s="218"/>
      <c r="F47" s="39"/>
      <c r="G47" s="268" t="s">
        <v>326</v>
      </c>
      <c r="H47" s="263"/>
      <c r="I47" s="263"/>
      <c r="J47" s="263"/>
      <c r="K47" s="264"/>
      <c r="L47" s="93"/>
      <c r="M47" s="268" t="s">
        <v>245</v>
      </c>
      <c r="N47" s="263"/>
      <c r="O47" s="263"/>
      <c r="P47" s="263"/>
      <c r="Q47" s="263"/>
      <c r="R47" s="264"/>
      <c r="S47" s="316" t="s">
        <v>109</v>
      </c>
      <c r="T47" s="263"/>
      <c r="U47" s="264"/>
      <c r="V47" s="94" t="e">
        <f t="shared" si="4"/>
        <v>#N/A</v>
      </c>
      <c r="W47" s="3"/>
      <c r="X47" s="4"/>
      <c r="Y47" s="3"/>
      <c r="Z47" s="3"/>
      <c r="AA47" s="3"/>
      <c r="AB47" s="3"/>
    </row>
    <row r="48" spans="1:28" ht="54.75" customHeight="1" thickBot="1" x14ac:dyDescent="0.35">
      <c r="A48" s="4"/>
      <c r="B48" s="3"/>
      <c r="C48" s="329" t="s">
        <v>113</v>
      </c>
      <c r="D48" s="217"/>
      <c r="E48" s="218"/>
      <c r="F48" s="39"/>
      <c r="G48" s="300" t="s">
        <v>334</v>
      </c>
      <c r="H48" s="301"/>
      <c r="I48" s="301"/>
      <c r="J48" s="301"/>
      <c r="K48" s="302"/>
      <c r="L48" s="93"/>
      <c r="M48" s="300" t="s">
        <v>327</v>
      </c>
      <c r="N48" s="301"/>
      <c r="O48" s="301"/>
      <c r="P48" s="301"/>
      <c r="Q48" s="301"/>
      <c r="R48" s="302"/>
      <c r="S48" s="325" t="s">
        <v>108</v>
      </c>
      <c r="T48" s="263"/>
      <c r="U48" s="264"/>
      <c r="V48" s="94" t="e">
        <f t="shared" si="4"/>
        <v>#N/A</v>
      </c>
      <c r="W48" s="3"/>
      <c r="X48" s="4"/>
      <c r="Y48" s="3"/>
      <c r="Z48" s="3"/>
      <c r="AA48" s="3"/>
      <c r="AB48" s="3"/>
    </row>
    <row r="49" spans="1:28" ht="104.25" customHeight="1" thickBot="1" x14ac:dyDescent="0.35">
      <c r="A49" s="4"/>
      <c r="B49" s="3"/>
      <c r="C49" s="330" t="s">
        <v>114</v>
      </c>
      <c r="D49" s="217"/>
      <c r="E49" s="218"/>
      <c r="F49" s="39"/>
      <c r="G49" s="312" t="s">
        <v>329</v>
      </c>
      <c r="H49" s="301"/>
      <c r="I49" s="301"/>
      <c r="J49" s="301"/>
      <c r="K49" s="302"/>
      <c r="L49" s="93"/>
      <c r="M49" s="313" t="s">
        <v>328</v>
      </c>
      <c r="N49" s="314"/>
      <c r="O49" s="314"/>
      <c r="P49" s="314"/>
      <c r="Q49" s="314"/>
      <c r="R49" s="315"/>
      <c r="S49" s="316" t="s">
        <v>108</v>
      </c>
      <c r="T49" s="263"/>
      <c r="U49" s="264"/>
      <c r="V49" s="94" t="e">
        <f t="shared" si="4"/>
        <v>#N/A</v>
      </c>
      <c r="W49" s="3"/>
      <c r="X49" s="4"/>
      <c r="Y49" s="3"/>
      <c r="Z49" s="3"/>
      <c r="AA49" s="3"/>
      <c r="AB49" s="3"/>
    </row>
    <row r="50" spans="1:28" ht="56.25" customHeight="1" x14ac:dyDescent="0.3">
      <c r="A50" s="4"/>
      <c r="B50" s="3"/>
      <c r="C50" s="3"/>
      <c r="D50" s="3"/>
      <c r="E50" s="3"/>
      <c r="F50" s="3"/>
      <c r="G50" s="3"/>
      <c r="H50" s="3"/>
      <c r="I50" s="3"/>
      <c r="J50" s="3"/>
      <c r="K50" s="3"/>
      <c r="L50" s="3"/>
      <c r="M50" s="3"/>
      <c r="N50" s="3"/>
      <c r="O50" s="3"/>
      <c r="P50" s="3"/>
      <c r="Q50" s="3"/>
      <c r="R50" s="3"/>
      <c r="S50" s="3"/>
      <c r="T50" s="3"/>
      <c r="U50" s="3"/>
      <c r="V50" s="3"/>
      <c r="W50" s="3"/>
      <c r="X50" s="4"/>
      <c r="Y50" s="3"/>
      <c r="Z50" s="3"/>
      <c r="AA50" s="3"/>
      <c r="AB50" s="3"/>
    </row>
    <row r="51" spans="1:28" ht="31.5" customHeight="1" x14ac:dyDescent="0.3">
      <c r="A51" s="4"/>
      <c r="B51" s="3"/>
      <c r="C51" s="99" t="str">
        <f>'3. Dangers'!C32</f>
        <v xml:space="preserve">Epidémies </v>
      </c>
      <c r="D51" s="99"/>
      <c r="E51" s="331"/>
      <c r="F51" s="197"/>
      <c r="G51" s="197"/>
      <c r="H51" s="197"/>
      <c r="I51" s="197"/>
      <c r="J51" s="197"/>
      <c r="K51" s="198"/>
      <c r="L51" s="100"/>
      <c r="M51" s="101"/>
      <c r="N51" s="100"/>
      <c r="O51" s="100"/>
      <c r="P51" s="100"/>
      <c r="Q51" s="100"/>
      <c r="R51" s="100"/>
      <c r="S51" s="100"/>
      <c r="T51" s="100"/>
      <c r="U51" s="100"/>
      <c r="V51" s="100"/>
      <c r="W51" s="3"/>
      <c r="X51" s="4"/>
      <c r="Y51" s="3"/>
      <c r="Z51" s="3"/>
      <c r="AA51" s="3"/>
      <c r="AB51" s="3"/>
    </row>
    <row r="52" spans="1:28" ht="12" customHeight="1" x14ac:dyDescent="0.3">
      <c r="A52" s="4"/>
      <c r="B52" s="3"/>
      <c r="C52" s="320"/>
      <c r="D52" s="217"/>
      <c r="E52" s="217"/>
      <c r="F52" s="217"/>
      <c r="G52" s="217"/>
      <c r="H52" s="217"/>
      <c r="I52" s="217"/>
      <c r="J52" s="217"/>
      <c r="K52" s="217"/>
      <c r="L52" s="217"/>
      <c r="M52" s="217"/>
      <c r="N52" s="217"/>
      <c r="O52" s="217"/>
      <c r="P52" s="217"/>
      <c r="Q52" s="217"/>
      <c r="R52" s="217"/>
      <c r="S52" s="217"/>
      <c r="T52" s="217"/>
      <c r="U52" s="217"/>
      <c r="V52" s="218"/>
      <c r="W52" s="3"/>
      <c r="X52" s="4"/>
      <c r="Y52" s="3"/>
      <c r="Z52" s="3"/>
      <c r="AA52" s="3"/>
      <c r="AB52" s="3"/>
    </row>
    <row r="53" spans="1:28" ht="49.5" customHeight="1" thickBot="1" x14ac:dyDescent="0.35">
      <c r="A53" s="4"/>
      <c r="B53" s="3"/>
      <c r="C53" s="339" t="s">
        <v>17</v>
      </c>
      <c r="D53" s="340"/>
      <c r="E53" s="341"/>
      <c r="F53" s="29"/>
      <c r="G53" s="327" t="s">
        <v>119</v>
      </c>
      <c r="H53" s="224"/>
      <c r="I53" s="224"/>
      <c r="J53" s="224"/>
      <c r="K53" s="328"/>
      <c r="L53" s="29"/>
      <c r="M53" s="327" t="s">
        <v>218</v>
      </c>
      <c r="N53" s="224"/>
      <c r="O53" s="224"/>
      <c r="P53" s="224"/>
      <c r="Q53" s="224"/>
      <c r="R53" s="328"/>
      <c r="S53" s="327" t="s">
        <v>120</v>
      </c>
      <c r="T53" s="224"/>
      <c r="U53" s="328"/>
      <c r="V53" s="92" t="s">
        <v>107</v>
      </c>
      <c r="W53" s="3"/>
      <c r="X53" s="4"/>
      <c r="Y53" s="3"/>
      <c r="Z53" s="3"/>
      <c r="AA53" s="3"/>
      <c r="AB53" s="3"/>
    </row>
    <row r="54" spans="1:28" ht="94.5" customHeight="1" thickBot="1" x14ac:dyDescent="0.35">
      <c r="A54" s="4"/>
      <c r="B54" s="3"/>
      <c r="C54" s="338" t="s">
        <v>19</v>
      </c>
      <c r="D54" s="310"/>
      <c r="E54" s="311"/>
      <c r="F54" s="193"/>
      <c r="G54" s="300" t="s">
        <v>330</v>
      </c>
      <c r="H54" s="301"/>
      <c r="I54" s="301"/>
      <c r="J54" s="301"/>
      <c r="K54" s="302"/>
      <c r="L54" s="93"/>
      <c r="M54" s="265" t="s">
        <v>278</v>
      </c>
      <c r="N54" s="301"/>
      <c r="O54" s="301"/>
      <c r="P54" s="301"/>
      <c r="Q54" s="301"/>
      <c r="R54" s="302"/>
      <c r="S54" s="345" t="s">
        <v>108</v>
      </c>
      <c r="T54" s="263"/>
      <c r="U54" s="264"/>
      <c r="V54" s="94" t="e">
        <f t="shared" ref="V54:V61" si="5">IF(S54="---","",VLOOKUP(S54,$C$63:$D$66,2,FALSE))</f>
        <v>#N/A</v>
      </c>
      <c r="W54" s="3"/>
      <c r="X54" s="4"/>
      <c r="Y54" s="3"/>
      <c r="Z54" s="3"/>
      <c r="AA54" s="3"/>
      <c r="AB54" s="3"/>
    </row>
    <row r="55" spans="1:28" ht="60.75" customHeight="1" thickBot="1" x14ac:dyDescent="0.35">
      <c r="A55" s="191"/>
      <c r="B55" s="3"/>
      <c r="C55" s="342" t="s">
        <v>20</v>
      </c>
      <c r="D55" s="343"/>
      <c r="E55" s="344"/>
      <c r="F55" s="193"/>
      <c r="G55" s="300" t="s">
        <v>330</v>
      </c>
      <c r="H55" s="301"/>
      <c r="I55" s="301"/>
      <c r="J55" s="301"/>
      <c r="K55" s="302"/>
      <c r="L55" s="193"/>
      <c r="M55" s="303" t="s">
        <v>279</v>
      </c>
      <c r="N55" s="304"/>
      <c r="O55" s="304"/>
      <c r="P55" s="304"/>
      <c r="Q55" s="304"/>
      <c r="R55" s="305"/>
      <c r="S55" s="306" t="s">
        <v>108</v>
      </c>
      <c r="T55" s="307"/>
      <c r="U55" s="308"/>
      <c r="V55" s="94">
        <v>0.67</v>
      </c>
      <c r="W55" s="3"/>
      <c r="X55" s="191"/>
      <c r="Y55" s="3"/>
      <c r="Z55" s="3"/>
      <c r="AA55" s="3"/>
      <c r="AB55" s="3"/>
    </row>
    <row r="56" spans="1:28" ht="67.5" customHeight="1" thickBot="1" x14ac:dyDescent="0.35">
      <c r="A56" s="4"/>
      <c r="B56" s="3"/>
      <c r="C56" s="338" t="s">
        <v>21</v>
      </c>
      <c r="D56" s="310"/>
      <c r="E56" s="311"/>
      <c r="F56" s="193"/>
      <c r="G56" s="300" t="s">
        <v>331</v>
      </c>
      <c r="H56" s="301"/>
      <c r="I56" s="301"/>
      <c r="J56" s="301"/>
      <c r="K56" s="302"/>
      <c r="L56" s="93"/>
      <c r="M56" s="300" t="s">
        <v>280</v>
      </c>
      <c r="N56" s="301"/>
      <c r="O56" s="301"/>
      <c r="P56" s="301"/>
      <c r="Q56" s="301"/>
      <c r="R56" s="302"/>
      <c r="S56" s="345" t="s">
        <v>109</v>
      </c>
      <c r="T56" s="263"/>
      <c r="U56" s="264"/>
      <c r="V56" s="94" t="e">
        <f t="shared" si="5"/>
        <v>#N/A</v>
      </c>
      <c r="W56" s="3"/>
      <c r="X56" s="4"/>
      <c r="Y56" s="3"/>
      <c r="Z56" s="3"/>
      <c r="AA56" s="3"/>
      <c r="AB56" s="3"/>
    </row>
    <row r="57" spans="1:28" ht="49.5" customHeight="1" thickBot="1" x14ac:dyDescent="0.35">
      <c r="A57" s="4"/>
      <c r="B57" s="3"/>
      <c r="C57" s="309" t="s">
        <v>110</v>
      </c>
      <c r="D57" s="310"/>
      <c r="E57" s="311"/>
      <c r="F57" s="193"/>
      <c r="G57" s="347" t="s">
        <v>227</v>
      </c>
      <c r="H57" s="301"/>
      <c r="I57" s="301"/>
      <c r="J57" s="301"/>
      <c r="K57" s="302"/>
      <c r="L57" s="93"/>
      <c r="M57" s="347" t="s">
        <v>281</v>
      </c>
      <c r="N57" s="301"/>
      <c r="O57" s="301"/>
      <c r="P57" s="301"/>
      <c r="Q57" s="301"/>
      <c r="R57" s="302"/>
      <c r="S57" s="346" t="s">
        <v>108</v>
      </c>
      <c r="T57" s="263"/>
      <c r="U57" s="264"/>
      <c r="V57" s="94" t="e">
        <f t="shared" si="5"/>
        <v>#N/A</v>
      </c>
      <c r="W57" s="3"/>
      <c r="X57" s="4"/>
      <c r="Y57" s="3"/>
      <c r="Z57" s="3"/>
      <c r="AA57" s="3"/>
      <c r="AB57" s="3"/>
    </row>
    <row r="58" spans="1:28" ht="39.75" customHeight="1" thickBot="1" x14ac:dyDescent="0.35">
      <c r="A58" s="4"/>
      <c r="B58" s="3"/>
      <c r="C58" s="338" t="s">
        <v>23</v>
      </c>
      <c r="D58" s="310"/>
      <c r="E58" s="311"/>
      <c r="F58" s="193"/>
      <c r="G58" s="241" t="s">
        <v>219</v>
      </c>
      <c r="H58" s="263"/>
      <c r="I58" s="263"/>
      <c r="J58" s="263"/>
      <c r="K58" s="264"/>
      <c r="L58" s="93"/>
      <c r="M58" s="241" t="s">
        <v>282</v>
      </c>
      <c r="N58" s="263"/>
      <c r="O58" s="263"/>
      <c r="P58" s="263"/>
      <c r="Q58" s="263"/>
      <c r="R58" s="264"/>
      <c r="S58" s="345" t="s">
        <v>109</v>
      </c>
      <c r="T58" s="263"/>
      <c r="U58" s="264"/>
      <c r="V58" s="94" t="e">
        <f t="shared" si="5"/>
        <v>#N/A</v>
      </c>
      <c r="W58" s="3"/>
      <c r="X58" s="4"/>
      <c r="Y58" s="3"/>
      <c r="Z58" s="3"/>
      <c r="AA58" s="3"/>
      <c r="AB58" s="3"/>
    </row>
    <row r="59" spans="1:28" ht="40.5" customHeight="1" thickBot="1" x14ac:dyDescent="0.35">
      <c r="A59" s="4"/>
      <c r="B59" s="3"/>
      <c r="C59" s="309" t="s">
        <v>112</v>
      </c>
      <c r="D59" s="310"/>
      <c r="E59" s="311"/>
      <c r="F59" s="193"/>
      <c r="G59" s="265" t="s">
        <v>228</v>
      </c>
      <c r="H59" s="301"/>
      <c r="I59" s="301"/>
      <c r="J59" s="301"/>
      <c r="K59" s="302"/>
      <c r="L59" s="169"/>
      <c r="M59" s="265" t="s">
        <v>245</v>
      </c>
      <c r="N59" s="301"/>
      <c r="O59" s="301"/>
      <c r="P59" s="301"/>
      <c r="Q59" s="301"/>
      <c r="R59" s="302"/>
      <c r="S59" s="346" t="s">
        <v>108</v>
      </c>
      <c r="T59" s="263"/>
      <c r="U59" s="264"/>
      <c r="V59" s="94" t="e">
        <f t="shared" si="5"/>
        <v>#N/A</v>
      </c>
      <c r="W59" s="3"/>
      <c r="X59" s="4"/>
      <c r="Y59" s="3"/>
      <c r="Z59" s="3"/>
      <c r="AA59" s="3"/>
      <c r="AB59" s="3"/>
    </row>
    <row r="60" spans="1:28" ht="84" customHeight="1" thickBot="1" x14ac:dyDescent="0.35">
      <c r="A60" s="4"/>
      <c r="B60" s="3"/>
      <c r="C60" s="338" t="s">
        <v>113</v>
      </c>
      <c r="D60" s="310"/>
      <c r="E60" s="311"/>
      <c r="F60" s="193"/>
      <c r="G60" s="300" t="s">
        <v>247</v>
      </c>
      <c r="H60" s="301"/>
      <c r="I60" s="301"/>
      <c r="J60" s="301"/>
      <c r="K60" s="302"/>
      <c r="L60" s="93"/>
      <c r="M60" s="300" t="s">
        <v>283</v>
      </c>
      <c r="N60" s="301"/>
      <c r="O60" s="301"/>
      <c r="P60" s="301"/>
      <c r="Q60" s="301"/>
      <c r="R60" s="302"/>
      <c r="S60" s="325" t="s">
        <v>108</v>
      </c>
      <c r="T60" s="263"/>
      <c r="U60" s="264"/>
      <c r="V60" s="94" t="e">
        <f t="shared" si="5"/>
        <v>#N/A</v>
      </c>
      <c r="W60" s="3"/>
      <c r="X60" s="4"/>
      <c r="Y60" s="3"/>
      <c r="Z60" s="3"/>
      <c r="AA60" s="3"/>
      <c r="AB60" s="3"/>
    </row>
    <row r="61" spans="1:28" ht="104.25" customHeight="1" thickBot="1" x14ac:dyDescent="0.35">
      <c r="A61" s="4"/>
      <c r="B61" s="3"/>
      <c r="C61" s="309" t="s">
        <v>114</v>
      </c>
      <c r="D61" s="310"/>
      <c r="E61" s="311"/>
      <c r="F61" s="193"/>
      <c r="G61" s="312" t="s">
        <v>332</v>
      </c>
      <c r="H61" s="301"/>
      <c r="I61" s="301"/>
      <c r="J61" s="301"/>
      <c r="K61" s="302"/>
      <c r="L61" s="93"/>
      <c r="M61" s="313" t="s">
        <v>284</v>
      </c>
      <c r="N61" s="314"/>
      <c r="O61" s="314"/>
      <c r="P61" s="314"/>
      <c r="Q61" s="314"/>
      <c r="R61" s="315"/>
      <c r="S61" s="316" t="s">
        <v>111</v>
      </c>
      <c r="T61" s="263"/>
      <c r="U61" s="264"/>
      <c r="V61" s="94" t="e">
        <f t="shared" si="5"/>
        <v>#N/A</v>
      </c>
      <c r="W61" s="3"/>
      <c r="X61" s="4"/>
      <c r="Y61" s="3"/>
      <c r="Z61" s="3"/>
      <c r="AA61" s="3"/>
      <c r="AB61" s="3"/>
    </row>
    <row r="62" spans="1:28" ht="31.5" customHeight="1" x14ac:dyDescent="0.3">
      <c r="A62" s="4"/>
      <c r="B62" s="3"/>
      <c r="C62" s="95" t="s">
        <v>83</v>
      </c>
      <c r="D62" s="96"/>
      <c r="E62" s="199"/>
      <c r="F62" s="197"/>
      <c r="G62" s="197"/>
      <c r="H62" s="197"/>
      <c r="I62" s="197"/>
      <c r="J62" s="197"/>
      <c r="K62" s="198"/>
      <c r="L62" s="97"/>
      <c r="M62" s="98"/>
      <c r="N62" s="97"/>
      <c r="O62" s="97"/>
      <c r="P62" s="97"/>
      <c r="Q62" s="97"/>
      <c r="R62" s="97"/>
      <c r="S62" s="97"/>
      <c r="T62" s="97"/>
      <c r="U62" s="97"/>
      <c r="V62" s="97"/>
      <c r="W62" s="3"/>
      <c r="X62" s="4"/>
      <c r="Y62" s="3"/>
      <c r="Z62" s="3"/>
      <c r="AA62" s="3"/>
      <c r="AB62" s="3"/>
    </row>
    <row r="63" spans="1:28" ht="12" customHeight="1" x14ac:dyDescent="0.3">
      <c r="A63" s="4"/>
      <c r="B63" s="3"/>
      <c r="C63" s="320"/>
      <c r="D63" s="217"/>
      <c r="E63" s="217"/>
      <c r="F63" s="217"/>
      <c r="G63" s="217"/>
      <c r="H63" s="217"/>
      <c r="I63" s="217"/>
      <c r="J63" s="217"/>
      <c r="K63" s="217"/>
      <c r="L63" s="217"/>
      <c r="M63" s="217"/>
      <c r="N63" s="217"/>
      <c r="O63" s="217"/>
      <c r="P63" s="217"/>
      <c r="Q63" s="217"/>
      <c r="R63" s="217"/>
      <c r="S63" s="217"/>
      <c r="T63" s="217"/>
      <c r="U63" s="217"/>
      <c r="V63" s="218"/>
      <c r="W63" s="3"/>
      <c r="X63" s="4"/>
      <c r="Y63" s="3"/>
      <c r="Z63" s="3"/>
      <c r="AA63" s="3"/>
      <c r="AB63" s="3"/>
    </row>
    <row r="64" spans="1:28" ht="51.75" customHeight="1" thickBot="1" x14ac:dyDescent="0.35">
      <c r="A64" s="4"/>
      <c r="B64" s="3"/>
      <c r="C64" s="326" t="s">
        <v>17</v>
      </c>
      <c r="D64" s="217"/>
      <c r="E64" s="218"/>
      <c r="F64" s="29"/>
      <c r="G64" s="327" t="s">
        <v>105</v>
      </c>
      <c r="H64" s="224"/>
      <c r="I64" s="224"/>
      <c r="J64" s="224"/>
      <c r="K64" s="328"/>
      <c r="L64" s="29"/>
      <c r="M64" s="327" t="s">
        <v>218</v>
      </c>
      <c r="N64" s="224"/>
      <c r="O64" s="224"/>
      <c r="P64" s="224"/>
      <c r="Q64" s="224"/>
      <c r="R64" s="328"/>
      <c r="S64" s="327" t="s">
        <v>106</v>
      </c>
      <c r="T64" s="224"/>
      <c r="U64" s="328"/>
      <c r="V64" s="92" t="s">
        <v>107</v>
      </c>
      <c r="W64" s="3"/>
      <c r="X64" s="4"/>
      <c r="Y64" s="3"/>
      <c r="Z64" s="3"/>
      <c r="AA64" s="3"/>
      <c r="AB64" s="3"/>
    </row>
    <row r="65" spans="1:28" ht="66" customHeight="1" thickBot="1" x14ac:dyDescent="0.35">
      <c r="A65" s="4"/>
      <c r="B65" s="3"/>
      <c r="C65" s="329" t="s">
        <v>19</v>
      </c>
      <c r="D65" s="217"/>
      <c r="E65" s="218"/>
      <c r="F65" s="39"/>
      <c r="G65" s="241" t="s">
        <v>224</v>
      </c>
      <c r="H65" s="263"/>
      <c r="I65" s="263"/>
      <c r="J65" s="263"/>
      <c r="K65" s="264"/>
      <c r="L65" s="93"/>
      <c r="M65" s="322" t="s">
        <v>241</v>
      </c>
      <c r="N65" s="323"/>
      <c r="O65" s="323"/>
      <c r="P65" s="323"/>
      <c r="Q65" s="323"/>
      <c r="R65" s="324"/>
      <c r="S65" s="337" t="s">
        <v>109</v>
      </c>
      <c r="T65" s="263"/>
      <c r="U65" s="264"/>
      <c r="V65" s="94" t="e">
        <f t="shared" ref="V65:V72" si="6">IF(S65="---","",VLOOKUP(S65,$C$63:$D$66,2,FALSE))</f>
        <v>#N/A</v>
      </c>
      <c r="W65" s="3"/>
      <c r="X65" s="4"/>
      <c r="Y65" s="3"/>
      <c r="Z65" s="3"/>
      <c r="AA65" s="3"/>
      <c r="AB65" s="3"/>
    </row>
    <row r="66" spans="1:28" ht="55.5" customHeight="1" thickBot="1" x14ac:dyDescent="0.35">
      <c r="A66" s="4"/>
      <c r="B66" s="3"/>
      <c r="C66" s="330" t="s">
        <v>20</v>
      </c>
      <c r="D66" s="217"/>
      <c r="E66" s="218"/>
      <c r="F66" s="39"/>
      <c r="G66" s="268" t="s">
        <v>242</v>
      </c>
      <c r="H66" s="263"/>
      <c r="I66" s="263"/>
      <c r="J66" s="263"/>
      <c r="K66" s="264"/>
      <c r="L66" s="93"/>
      <c r="M66" s="265" t="s">
        <v>333</v>
      </c>
      <c r="N66" s="301"/>
      <c r="O66" s="301"/>
      <c r="P66" s="301"/>
      <c r="Q66" s="301"/>
      <c r="R66" s="302"/>
      <c r="S66" s="316" t="s">
        <v>109</v>
      </c>
      <c r="T66" s="263"/>
      <c r="U66" s="264"/>
      <c r="V66" s="94" t="e">
        <f t="shared" si="6"/>
        <v>#N/A</v>
      </c>
      <c r="W66" s="3"/>
      <c r="X66" s="4"/>
      <c r="Y66" s="3"/>
      <c r="Z66" s="3"/>
      <c r="AA66" s="3"/>
      <c r="AB66" s="3"/>
    </row>
    <row r="67" spans="1:28" ht="49.5" customHeight="1" thickBot="1" x14ac:dyDescent="0.35">
      <c r="A67" s="4"/>
      <c r="B67" s="3"/>
      <c r="C67" s="329" t="s">
        <v>21</v>
      </c>
      <c r="D67" s="217"/>
      <c r="E67" s="218"/>
      <c r="F67" s="39"/>
      <c r="G67" s="300" t="s">
        <v>243</v>
      </c>
      <c r="H67" s="301"/>
      <c r="I67" s="301"/>
      <c r="J67" s="301"/>
      <c r="K67" s="302"/>
      <c r="L67" s="93"/>
      <c r="M67" s="265" t="s">
        <v>290</v>
      </c>
      <c r="N67" s="301"/>
      <c r="O67" s="301"/>
      <c r="P67" s="301"/>
      <c r="Q67" s="301"/>
      <c r="R67" s="302"/>
      <c r="S67" s="325" t="s">
        <v>109</v>
      </c>
      <c r="T67" s="263"/>
      <c r="U67" s="264"/>
      <c r="V67" s="94" t="e">
        <f t="shared" si="6"/>
        <v>#N/A</v>
      </c>
      <c r="W67" s="3"/>
      <c r="X67" s="4"/>
      <c r="Y67" s="3"/>
      <c r="Z67" s="3"/>
      <c r="AA67" s="3"/>
      <c r="AB67" s="3"/>
    </row>
    <row r="68" spans="1:28" ht="43.5" customHeight="1" thickBot="1" x14ac:dyDescent="0.35">
      <c r="A68" s="4" t="s">
        <v>13</v>
      </c>
      <c r="B68" s="3"/>
      <c r="C68" s="330" t="s">
        <v>110</v>
      </c>
      <c r="D68" s="217"/>
      <c r="E68" s="218"/>
      <c r="F68" s="39"/>
      <c r="G68" s="268" t="s">
        <v>226</v>
      </c>
      <c r="H68" s="263"/>
      <c r="I68" s="263"/>
      <c r="J68" s="263"/>
      <c r="K68" s="264"/>
      <c r="L68" s="93"/>
      <c r="M68" s="268" t="s">
        <v>291</v>
      </c>
      <c r="N68" s="263"/>
      <c r="O68" s="263"/>
      <c r="P68" s="263"/>
      <c r="Q68" s="263"/>
      <c r="R68" s="264"/>
      <c r="S68" s="316" t="s">
        <v>108</v>
      </c>
      <c r="T68" s="263"/>
      <c r="U68" s="264"/>
      <c r="V68" s="94" t="e">
        <f t="shared" si="6"/>
        <v>#N/A</v>
      </c>
      <c r="W68" s="3"/>
      <c r="X68" s="4"/>
      <c r="Y68" s="3"/>
      <c r="Z68" s="3"/>
      <c r="AA68" s="3"/>
      <c r="AB68" s="3"/>
    </row>
    <row r="69" spans="1:28" ht="81" customHeight="1" thickBot="1" x14ac:dyDescent="0.35">
      <c r="A69" s="4"/>
      <c r="B69" s="3"/>
      <c r="C69" s="329" t="s">
        <v>23</v>
      </c>
      <c r="D69" s="217"/>
      <c r="E69" s="218"/>
      <c r="F69" s="39"/>
      <c r="G69" s="241" t="s">
        <v>244</v>
      </c>
      <c r="H69" s="263"/>
      <c r="I69" s="263"/>
      <c r="J69" s="263"/>
      <c r="K69" s="264"/>
      <c r="L69" s="93"/>
      <c r="M69" s="300" t="s">
        <v>292</v>
      </c>
      <c r="N69" s="301"/>
      <c r="O69" s="301"/>
      <c r="P69" s="301"/>
      <c r="Q69" s="301"/>
      <c r="R69" s="302"/>
      <c r="S69" s="325" t="s">
        <v>109</v>
      </c>
      <c r="T69" s="263"/>
      <c r="U69" s="264"/>
      <c r="V69" s="94" t="e">
        <f t="shared" si="6"/>
        <v>#N/A</v>
      </c>
      <c r="W69" s="3"/>
      <c r="X69" s="4"/>
      <c r="Y69" s="3"/>
      <c r="Z69" s="3"/>
      <c r="AA69" s="3"/>
      <c r="AB69" s="3"/>
    </row>
    <row r="70" spans="1:28" ht="38.25" customHeight="1" thickBot="1" x14ac:dyDescent="0.35">
      <c r="A70" s="4"/>
      <c r="B70" s="3"/>
      <c r="C70" s="330" t="s">
        <v>112</v>
      </c>
      <c r="D70" s="217"/>
      <c r="E70" s="218"/>
      <c r="F70" s="39"/>
      <c r="G70" s="268" t="s">
        <v>246</v>
      </c>
      <c r="H70" s="263"/>
      <c r="I70" s="263"/>
      <c r="J70" s="263"/>
      <c r="K70" s="264"/>
      <c r="L70" s="93"/>
      <c r="M70" s="268" t="s">
        <v>245</v>
      </c>
      <c r="N70" s="263"/>
      <c r="O70" s="263"/>
      <c r="P70" s="263"/>
      <c r="Q70" s="263"/>
      <c r="R70" s="264"/>
      <c r="S70" s="316" t="s">
        <v>109</v>
      </c>
      <c r="T70" s="263"/>
      <c r="U70" s="264"/>
      <c r="V70" s="94" t="e">
        <f t="shared" si="6"/>
        <v>#N/A</v>
      </c>
      <c r="W70" s="3"/>
      <c r="X70" s="4"/>
      <c r="Y70" s="3"/>
      <c r="Z70" s="3"/>
      <c r="AA70" s="3"/>
      <c r="AB70" s="3"/>
    </row>
    <row r="71" spans="1:28" ht="54.75" customHeight="1" thickBot="1" x14ac:dyDescent="0.35">
      <c r="A71" s="4"/>
      <c r="B71" s="3"/>
      <c r="C71" s="329" t="s">
        <v>113</v>
      </c>
      <c r="D71" s="217"/>
      <c r="E71" s="218"/>
      <c r="F71" s="39"/>
      <c r="G71" s="300" t="s">
        <v>334</v>
      </c>
      <c r="H71" s="301"/>
      <c r="I71" s="301"/>
      <c r="J71" s="301"/>
      <c r="K71" s="302"/>
      <c r="L71" s="93"/>
      <c r="M71" s="300" t="s">
        <v>327</v>
      </c>
      <c r="N71" s="301"/>
      <c r="O71" s="301"/>
      <c r="P71" s="301"/>
      <c r="Q71" s="301"/>
      <c r="R71" s="302"/>
      <c r="S71" s="325" t="s">
        <v>108</v>
      </c>
      <c r="T71" s="263"/>
      <c r="U71" s="264"/>
      <c r="V71" s="94" t="e">
        <f t="shared" si="6"/>
        <v>#N/A</v>
      </c>
      <c r="W71" s="3"/>
      <c r="X71" s="4"/>
      <c r="Y71" s="3"/>
      <c r="Z71" s="3"/>
      <c r="AA71" s="3"/>
      <c r="AB71" s="3"/>
    </row>
    <row r="72" spans="1:28" ht="104.25" customHeight="1" thickBot="1" x14ac:dyDescent="0.35">
      <c r="A72" s="4"/>
      <c r="B72" s="3"/>
      <c r="C72" s="330" t="s">
        <v>114</v>
      </c>
      <c r="D72" s="217"/>
      <c r="E72" s="218"/>
      <c r="F72" s="39"/>
      <c r="G72" s="312" t="s">
        <v>329</v>
      </c>
      <c r="H72" s="301"/>
      <c r="I72" s="301"/>
      <c r="J72" s="301"/>
      <c r="K72" s="302"/>
      <c r="L72" s="93"/>
      <c r="M72" s="313" t="s">
        <v>328</v>
      </c>
      <c r="N72" s="314"/>
      <c r="O72" s="314"/>
      <c r="P72" s="314"/>
      <c r="Q72" s="314"/>
      <c r="R72" s="315"/>
      <c r="S72" s="316" t="s">
        <v>108</v>
      </c>
      <c r="T72" s="263"/>
      <c r="U72" s="264"/>
      <c r="V72" s="94" t="e">
        <f t="shared" si="6"/>
        <v>#N/A</v>
      </c>
      <c r="W72" s="3"/>
      <c r="X72" s="4"/>
      <c r="Y72" s="3"/>
      <c r="Z72" s="3"/>
      <c r="AA72" s="3"/>
      <c r="AB72" s="3"/>
    </row>
    <row r="73" spans="1:28"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sheetData>
  <mergeCells count="176">
    <mergeCell ref="C72:E72"/>
    <mergeCell ref="G72:K72"/>
    <mergeCell ref="M72:R72"/>
    <mergeCell ref="S72:U72"/>
    <mergeCell ref="C69:E69"/>
    <mergeCell ref="G69:K69"/>
    <mergeCell ref="M69:R69"/>
    <mergeCell ref="S69:U69"/>
    <mergeCell ref="C70:E70"/>
    <mergeCell ref="G70:K70"/>
    <mergeCell ref="M70:R70"/>
    <mergeCell ref="S70:U70"/>
    <mergeCell ref="C71:E71"/>
    <mergeCell ref="G71:K71"/>
    <mergeCell ref="M71:R71"/>
    <mergeCell ref="S71:U71"/>
    <mergeCell ref="C66:E66"/>
    <mergeCell ref="G66:K66"/>
    <mergeCell ref="M66:R66"/>
    <mergeCell ref="S66:U66"/>
    <mergeCell ref="C67:E67"/>
    <mergeCell ref="G67:K67"/>
    <mergeCell ref="M67:R67"/>
    <mergeCell ref="S67:U67"/>
    <mergeCell ref="C68:E68"/>
    <mergeCell ref="G68:K68"/>
    <mergeCell ref="M68:R68"/>
    <mergeCell ref="S68:U68"/>
    <mergeCell ref="E62:K62"/>
    <mergeCell ref="C63:V63"/>
    <mergeCell ref="C64:E64"/>
    <mergeCell ref="G64:K64"/>
    <mergeCell ref="M64:R64"/>
    <mergeCell ref="S64:U64"/>
    <mergeCell ref="C65:E65"/>
    <mergeCell ref="G65:K65"/>
    <mergeCell ref="M65:R65"/>
    <mergeCell ref="S65:U65"/>
    <mergeCell ref="G56:K56"/>
    <mergeCell ref="S56:U56"/>
    <mergeCell ref="S57:U57"/>
    <mergeCell ref="M60:R60"/>
    <mergeCell ref="M56:R56"/>
    <mergeCell ref="M57:R57"/>
    <mergeCell ref="M58:R58"/>
    <mergeCell ref="S58:U58"/>
    <mergeCell ref="M59:R59"/>
    <mergeCell ref="S59:U59"/>
    <mergeCell ref="S60:U60"/>
    <mergeCell ref="G57:K57"/>
    <mergeCell ref="G58:K58"/>
    <mergeCell ref="G59:K59"/>
    <mergeCell ref="G60:K60"/>
    <mergeCell ref="G53:K53"/>
    <mergeCell ref="M53:R53"/>
    <mergeCell ref="S53:U53"/>
    <mergeCell ref="M54:R54"/>
    <mergeCell ref="S54:U54"/>
    <mergeCell ref="G48:K48"/>
    <mergeCell ref="M48:R48"/>
    <mergeCell ref="S48:U48"/>
    <mergeCell ref="M49:R49"/>
    <mergeCell ref="S49:U49"/>
    <mergeCell ref="G49:K49"/>
    <mergeCell ref="G54:K54"/>
    <mergeCell ref="C46:E46"/>
    <mergeCell ref="C57:E57"/>
    <mergeCell ref="C58:E58"/>
    <mergeCell ref="C59:E59"/>
    <mergeCell ref="C60:E60"/>
    <mergeCell ref="C49:E49"/>
    <mergeCell ref="C53:E53"/>
    <mergeCell ref="C54:E54"/>
    <mergeCell ref="C56:E56"/>
    <mergeCell ref="C47:E47"/>
    <mergeCell ref="C48:E48"/>
    <mergeCell ref="C55:E55"/>
    <mergeCell ref="S45:U45"/>
    <mergeCell ref="G43:K43"/>
    <mergeCell ref="M43:R43"/>
    <mergeCell ref="S43:U43"/>
    <mergeCell ref="G44:K44"/>
    <mergeCell ref="M44:R44"/>
    <mergeCell ref="S44:U44"/>
    <mergeCell ref="G45:K45"/>
    <mergeCell ref="C41:E41"/>
    <mergeCell ref="C42:E42"/>
    <mergeCell ref="C43:E43"/>
    <mergeCell ref="C44:E44"/>
    <mergeCell ref="C45:E45"/>
    <mergeCell ref="M42:R42"/>
    <mergeCell ref="S42:U42"/>
    <mergeCell ref="G41:K41"/>
    <mergeCell ref="M41:R41"/>
    <mergeCell ref="S41:U41"/>
    <mergeCell ref="G42:K42"/>
    <mergeCell ref="M33:R33"/>
    <mergeCell ref="M34:R34"/>
    <mergeCell ref="S34:U34"/>
    <mergeCell ref="M30:R30"/>
    <mergeCell ref="S30:U30"/>
    <mergeCell ref="M31:R31"/>
    <mergeCell ref="S31:U31"/>
    <mergeCell ref="M32:R32"/>
    <mergeCell ref="S32:U32"/>
    <mergeCell ref="S33:U33"/>
    <mergeCell ref="M36:R36"/>
    <mergeCell ref="M37:R37"/>
    <mergeCell ref="G34:K34"/>
    <mergeCell ref="G35:K35"/>
    <mergeCell ref="M35:R35"/>
    <mergeCell ref="S35:U35"/>
    <mergeCell ref="G36:K36"/>
    <mergeCell ref="S36:U36"/>
    <mergeCell ref="G37:K37"/>
    <mergeCell ref="C30:E30"/>
    <mergeCell ref="G46:K46"/>
    <mergeCell ref="M46:R46"/>
    <mergeCell ref="S46:U46"/>
    <mergeCell ref="G47:K47"/>
    <mergeCell ref="M47:R47"/>
    <mergeCell ref="S47:U47"/>
    <mergeCell ref="E51:K51"/>
    <mergeCell ref="C52:V52"/>
    <mergeCell ref="S37:U37"/>
    <mergeCell ref="G30:K30"/>
    <mergeCell ref="C31:E31"/>
    <mergeCell ref="G31:K31"/>
    <mergeCell ref="C32:E32"/>
    <mergeCell ref="G32:K32"/>
    <mergeCell ref="G33:K33"/>
    <mergeCell ref="C33:E33"/>
    <mergeCell ref="C34:E34"/>
    <mergeCell ref="C35:E35"/>
    <mergeCell ref="C36:E36"/>
    <mergeCell ref="C37:E37"/>
    <mergeCell ref="E39:K39"/>
    <mergeCell ref="M45:R45"/>
    <mergeCell ref="C40:V40"/>
    <mergeCell ref="O22:V22"/>
    <mergeCell ref="E24:K24"/>
    <mergeCell ref="C25:V25"/>
    <mergeCell ref="C26:V26"/>
    <mergeCell ref="M29:R29"/>
    <mergeCell ref="S29:U29"/>
    <mergeCell ref="C27:V27"/>
    <mergeCell ref="C28:E28"/>
    <mergeCell ref="G28:K28"/>
    <mergeCell ref="M28:R28"/>
    <mergeCell ref="S28:U28"/>
    <mergeCell ref="C29:E29"/>
    <mergeCell ref="G29:K29"/>
    <mergeCell ref="G55:K55"/>
    <mergeCell ref="M55:R55"/>
    <mergeCell ref="S55:U55"/>
    <mergeCell ref="C61:E61"/>
    <mergeCell ref="G61:K61"/>
    <mergeCell ref="M61:R61"/>
    <mergeCell ref="S61:U61"/>
    <mergeCell ref="A1:X1"/>
    <mergeCell ref="A4:C6"/>
    <mergeCell ref="E5:I5"/>
    <mergeCell ref="K5:O5"/>
    <mergeCell ref="R5:V5"/>
    <mergeCell ref="A8:X8"/>
    <mergeCell ref="C10:V10"/>
    <mergeCell ref="C12:V12"/>
    <mergeCell ref="C14:K14"/>
    <mergeCell ref="M14:V14"/>
    <mergeCell ref="E16:K16"/>
    <mergeCell ref="O16:V16"/>
    <mergeCell ref="E18:K18"/>
    <mergeCell ref="O18:V18"/>
    <mergeCell ref="E20:K20"/>
    <mergeCell ref="O20:V20"/>
    <mergeCell ref="E22:K22"/>
  </mergeCells>
  <conditionalFormatting sqref="V29:V37 V42:V49">
    <cfRule type="cellIs" dxfId="34" priority="9" operator="equal">
      <formula>0</formula>
    </cfRule>
    <cfRule type="cellIs" dxfId="33" priority="10" operator="equal">
      <formula>0.33</formula>
    </cfRule>
    <cfRule type="cellIs" dxfId="32" priority="11" operator="equal">
      <formula>0.67</formula>
    </cfRule>
    <cfRule type="cellIs" dxfId="31" priority="12" operator="equal">
      <formula>1</formula>
    </cfRule>
  </conditionalFormatting>
  <conditionalFormatting sqref="V54:V61">
    <cfRule type="cellIs" dxfId="30" priority="5" operator="equal">
      <formula>0</formula>
    </cfRule>
    <cfRule type="cellIs" dxfId="29" priority="6" operator="equal">
      <formula>0.33</formula>
    </cfRule>
    <cfRule type="cellIs" dxfId="28" priority="7" operator="equal">
      <formula>0.67</formula>
    </cfRule>
    <cfRule type="cellIs" dxfId="27" priority="8" operator="equal">
      <formula>1</formula>
    </cfRule>
  </conditionalFormatting>
  <conditionalFormatting sqref="V65:V72">
    <cfRule type="cellIs" dxfId="26" priority="1" operator="equal">
      <formula>0</formula>
    </cfRule>
    <cfRule type="cellIs" dxfId="25" priority="2" operator="equal">
      <formula>0.33</formula>
    </cfRule>
    <cfRule type="cellIs" dxfId="24" priority="3" operator="equal">
      <formula>0.67</formula>
    </cfRule>
    <cfRule type="cellIs" dxfId="23" priority="4" operator="equal">
      <formula>1</formula>
    </cfRule>
  </conditionalFormatting>
  <dataValidations count="1">
    <dataValidation type="list" allowBlank="1" showErrorMessage="1" sqref="S29:S37 S42:S49 S54:S61 S65:S72" xr:uid="{00000000-0002-0000-0400-000000000000}">
      <formula1>$C$63:$C$67</formula1>
    </dataValidation>
  </dataValidations>
  <pageMargins left="0.25" right="0.25" top="0.75" bottom="0.75" header="0" footer="0"/>
  <pageSetup paperSize="9" orientation="portrait" r:id="rId1"/>
  <headerFooter>
    <oddFooter>&amp;L000000_x000D_#000000Public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8"/>
  <sheetViews>
    <sheetView showGridLines="0" topLeftCell="A46" zoomScale="92" zoomScaleNormal="92" workbookViewId="0">
      <selection activeCell="G49" sqref="G49:K49"/>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19921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196" t="s">
        <v>122</v>
      </c>
      <c r="B1" s="197"/>
      <c r="C1" s="197"/>
      <c r="D1" s="197"/>
      <c r="E1" s="197"/>
      <c r="F1" s="197"/>
      <c r="G1" s="197"/>
      <c r="H1" s="197"/>
      <c r="I1" s="197"/>
      <c r="J1" s="197"/>
      <c r="K1" s="197"/>
      <c r="L1" s="197"/>
      <c r="M1" s="197"/>
      <c r="N1" s="197"/>
      <c r="O1" s="197"/>
      <c r="P1" s="197"/>
      <c r="Q1" s="197"/>
      <c r="R1" s="198"/>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1" t="s">
        <v>6</v>
      </c>
      <c r="B4" s="201"/>
      <c r="C4" s="202"/>
      <c r="D4" s="6"/>
      <c r="E4" s="7"/>
      <c r="F4" s="7"/>
      <c r="G4" s="7"/>
      <c r="H4" s="7"/>
      <c r="I4" s="7"/>
      <c r="J4" s="7"/>
      <c r="K4" s="7"/>
      <c r="L4" s="7"/>
      <c r="M4" s="7"/>
      <c r="N4" s="7"/>
      <c r="O4" s="7"/>
      <c r="P4" s="7"/>
      <c r="Q4" s="7"/>
      <c r="R4" s="7"/>
      <c r="S4" s="3"/>
      <c r="T4" s="3"/>
      <c r="U4" s="3"/>
      <c r="V4" s="3"/>
      <c r="W4" s="3"/>
      <c r="X4" s="3"/>
      <c r="Y4" s="3"/>
      <c r="Z4" s="3"/>
    </row>
    <row r="5" spans="1:26" ht="31.5" customHeight="1" x14ac:dyDescent="0.3">
      <c r="A5" s="203"/>
      <c r="B5" s="204"/>
      <c r="C5" s="205"/>
      <c r="D5" s="6"/>
      <c r="E5" s="317" t="str">
        <f>'1. Résumé'!E6</f>
        <v>FKT 09/12 Manometinay</v>
      </c>
      <c r="F5" s="197"/>
      <c r="G5" s="197"/>
      <c r="H5" s="197"/>
      <c r="I5" s="198"/>
      <c r="J5" s="7"/>
      <c r="K5" s="237" t="str">
        <f>'1. Résumé'!G8</f>
        <v>Pays : Madagascar</v>
      </c>
      <c r="L5" s="198"/>
      <c r="M5" s="237"/>
      <c r="N5" s="197"/>
      <c r="O5" s="197"/>
      <c r="P5" s="198"/>
      <c r="Q5" s="7"/>
      <c r="R5" s="7"/>
      <c r="S5" s="3"/>
      <c r="T5" s="3"/>
      <c r="U5" s="3"/>
      <c r="V5" s="3"/>
      <c r="W5" s="3"/>
      <c r="X5" s="3"/>
      <c r="Y5" s="3"/>
      <c r="Z5" s="3"/>
    </row>
    <row r="6" spans="1:26" ht="9.75" customHeight="1" x14ac:dyDescent="0.3">
      <c r="A6" s="206"/>
      <c r="B6" s="207"/>
      <c r="C6" s="208"/>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1" t="s">
        <v>123</v>
      </c>
      <c r="B8" s="197"/>
      <c r="C8" s="197"/>
      <c r="D8" s="197"/>
      <c r="E8" s="197"/>
      <c r="F8" s="197"/>
      <c r="G8" s="197"/>
      <c r="H8" s="197"/>
      <c r="I8" s="197"/>
      <c r="J8" s="197"/>
      <c r="K8" s="197"/>
      <c r="L8" s="197"/>
      <c r="M8" s="197"/>
      <c r="N8" s="197"/>
      <c r="O8" s="197"/>
      <c r="P8" s="197"/>
      <c r="Q8" s="197"/>
      <c r="R8" s="198"/>
      <c r="S8" s="3"/>
      <c r="T8" s="3"/>
      <c r="U8" s="3"/>
      <c r="V8" s="3" t="s">
        <v>13</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318" t="s">
        <v>124</v>
      </c>
      <c r="D10" s="197"/>
      <c r="E10" s="197"/>
      <c r="F10" s="197"/>
      <c r="G10" s="197"/>
      <c r="H10" s="197"/>
      <c r="I10" s="197"/>
      <c r="J10" s="197"/>
      <c r="K10" s="197"/>
      <c r="L10" s="197"/>
      <c r="M10" s="197"/>
      <c r="N10" s="197"/>
      <c r="O10" s="197"/>
      <c r="P10" s="198"/>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22" t="s">
        <v>125</v>
      </c>
      <c r="D12" s="197"/>
      <c r="E12" s="197"/>
      <c r="F12" s="197"/>
      <c r="G12" s="197"/>
      <c r="H12" s="197"/>
      <c r="I12" s="197"/>
      <c r="J12" s="197"/>
      <c r="K12" s="197"/>
      <c r="L12" s="197"/>
      <c r="M12" s="197"/>
      <c r="N12" s="197"/>
      <c r="O12" s="197"/>
      <c r="P12" s="198"/>
      <c r="Q12" s="3"/>
      <c r="R12" s="4"/>
      <c r="S12" s="3"/>
      <c r="T12" s="3"/>
      <c r="U12" s="3"/>
      <c r="V12" s="3"/>
      <c r="W12" s="3"/>
      <c r="X12" s="3"/>
      <c r="Y12" s="3"/>
      <c r="Z12" s="3"/>
    </row>
    <row r="13" spans="1:26" ht="9.75" customHeight="1" x14ac:dyDescent="0.3">
      <c r="A13" s="4"/>
      <c r="B13" s="3"/>
      <c r="C13" s="3" t="s">
        <v>13</v>
      </c>
      <c r="D13" s="3"/>
      <c r="E13" s="3"/>
      <c r="F13" s="3"/>
      <c r="G13" s="3"/>
      <c r="H13" s="3" t="s">
        <v>13</v>
      </c>
      <c r="I13" s="3"/>
      <c r="J13" s="3"/>
      <c r="K13" s="3"/>
      <c r="L13" s="3"/>
      <c r="M13" s="3"/>
      <c r="N13" s="3"/>
      <c r="O13" s="3"/>
      <c r="P13" s="3"/>
      <c r="Q13" s="3"/>
      <c r="R13" s="4"/>
      <c r="S13" s="3"/>
      <c r="T13" s="3"/>
      <c r="U13" s="3"/>
      <c r="V13" s="3"/>
      <c r="W13" s="3"/>
      <c r="X13" s="3"/>
      <c r="Y13" s="3"/>
      <c r="Z13" s="3"/>
    </row>
    <row r="14" spans="1:26" ht="72.75" customHeight="1" x14ac:dyDescent="0.3">
      <c r="A14" s="4"/>
      <c r="B14" s="3"/>
      <c r="C14" s="241" t="s">
        <v>220</v>
      </c>
      <c r="D14" s="242"/>
      <c r="E14" s="242"/>
      <c r="F14" s="242"/>
      <c r="G14" s="242"/>
      <c r="H14" s="242"/>
      <c r="I14" s="242"/>
      <c r="J14" s="242"/>
      <c r="K14" s="242"/>
      <c r="L14" s="242"/>
      <c r="M14" s="242"/>
      <c r="N14" s="242"/>
      <c r="O14" s="242"/>
      <c r="P14" s="243"/>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
        <v>264</v>
      </c>
      <c r="D16" s="23"/>
      <c r="E16" s="319"/>
      <c r="F16" s="197"/>
      <c r="G16" s="197"/>
      <c r="H16" s="197"/>
      <c r="I16" s="197"/>
      <c r="J16" s="197"/>
      <c r="K16" s="198"/>
      <c r="L16" s="90"/>
      <c r="M16" s="90"/>
      <c r="N16" s="90"/>
      <c r="O16" s="90"/>
      <c r="P16" s="90"/>
      <c r="Q16" s="3"/>
      <c r="R16" s="4"/>
      <c r="S16" s="3"/>
      <c r="T16" s="3"/>
      <c r="U16" s="3"/>
      <c r="V16" s="3"/>
      <c r="W16" s="3"/>
      <c r="X16" s="3"/>
      <c r="Y16" s="3"/>
      <c r="Z16" s="3"/>
    </row>
    <row r="17" spans="1:26" ht="12" customHeight="1" x14ac:dyDescent="0.3">
      <c r="A17" s="4"/>
      <c r="B17" s="3"/>
      <c r="C17" s="320"/>
      <c r="D17" s="217"/>
      <c r="E17" s="217"/>
      <c r="F17" s="217"/>
      <c r="G17" s="217"/>
      <c r="H17" s="217"/>
      <c r="I17" s="217"/>
      <c r="J17" s="217"/>
      <c r="K17" s="217"/>
      <c r="L17" s="217"/>
      <c r="M17" s="217"/>
      <c r="N17" s="217"/>
      <c r="O17" s="217"/>
      <c r="P17" s="218"/>
      <c r="Q17" s="3"/>
      <c r="R17" s="4"/>
      <c r="S17" s="3"/>
      <c r="T17" s="3"/>
      <c r="U17" s="3"/>
      <c r="V17" s="3"/>
      <c r="W17" s="3"/>
      <c r="X17" s="3"/>
      <c r="Y17" s="3"/>
      <c r="Z17" s="3"/>
    </row>
    <row r="18" spans="1:26" ht="31.5" customHeight="1" x14ac:dyDescent="0.3">
      <c r="A18" s="4"/>
      <c r="B18" s="3"/>
      <c r="C18" s="326" t="s">
        <v>17</v>
      </c>
      <c r="D18" s="217"/>
      <c r="E18" s="218"/>
      <c r="F18" s="29"/>
      <c r="G18" s="327" t="s">
        <v>126</v>
      </c>
      <c r="H18" s="224"/>
      <c r="I18" s="224"/>
      <c r="J18" s="224"/>
      <c r="K18" s="328"/>
      <c r="L18" s="29"/>
      <c r="M18" s="348" t="s">
        <v>127</v>
      </c>
      <c r="N18" s="349"/>
      <c r="O18" s="350"/>
      <c r="P18" s="92" t="s">
        <v>128</v>
      </c>
      <c r="Q18" s="3"/>
      <c r="R18" s="4"/>
      <c r="S18" s="3"/>
      <c r="T18" s="3"/>
      <c r="U18" s="3"/>
      <c r="V18" s="3"/>
      <c r="W18" s="3"/>
      <c r="X18" s="3"/>
      <c r="Y18" s="3"/>
      <c r="Z18" s="3"/>
    </row>
    <row r="19" spans="1:26" ht="57" customHeight="1" x14ac:dyDescent="0.3">
      <c r="A19" s="4"/>
      <c r="B19" s="3"/>
      <c r="C19" s="329" t="s">
        <v>19</v>
      </c>
      <c r="D19" s="217"/>
      <c r="E19" s="218"/>
      <c r="F19" s="39"/>
      <c r="G19" s="278"/>
      <c r="H19" s="263"/>
      <c r="I19" s="263"/>
      <c r="J19" s="263"/>
      <c r="K19" s="264"/>
      <c r="L19" s="93"/>
      <c r="M19" s="345" t="s">
        <v>133</v>
      </c>
      <c r="N19" s="263"/>
      <c r="O19" s="264"/>
      <c r="P19" s="94" t="e">
        <f t="shared" ref="P19:P28" si="0">IF(M19="---","",VLOOKUP(M19,$C$58:$D$61,2,FALSE))</f>
        <v>#N/A</v>
      </c>
      <c r="Q19" s="3"/>
      <c r="R19" s="4"/>
      <c r="S19" s="3"/>
      <c r="T19" s="3"/>
      <c r="U19" s="3"/>
      <c r="V19" s="3"/>
      <c r="W19" s="3"/>
      <c r="X19" s="3"/>
      <c r="Y19" s="3"/>
      <c r="Z19" s="3"/>
    </row>
    <row r="20" spans="1:26" ht="62.25" customHeight="1" x14ac:dyDescent="0.3">
      <c r="A20" s="4"/>
      <c r="B20" s="3"/>
      <c r="C20" s="330" t="s">
        <v>20</v>
      </c>
      <c r="D20" s="217"/>
      <c r="E20" s="218"/>
      <c r="F20" s="39"/>
      <c r="G20" s="351" t="s">
        <v>300</v>
      </c>
      <c r="H20" s="263"/>
      <c r="I20" s="263"/>
      <c r="J20" s="263"/>
      <c r="K20" s="264"/>
      <c r="L20" s="93"/>
      <c r="M20" s="345" t="s">
        <v>132</v>
      </c>
      <c r="N20" s="263"/>
      <c r="O20" s="264"/>
      <c r="P20" s="94" t="e">
        <f t="shared" si="0"/>
        <v>#N/A</v>
      </c>
      <c r="Q20" s="3"/>
      <c r="R20" s="4"/>
      <c r="S20" s="3"/>
      <c r="T20" s="3"/>
      <c r="U20" s="3"/>
      <c r="V20" s="3"/>
      <c r="W20" s="3"/>
      <c r="X20" s="3"/>
      <c r="Y20" s="3"/>
      <c r="Z20" s="3"/>
    </row>
    <row r="21" spans="1:26" ht="62.25" customHeight="1" x14ac:dyDescent="0.3">
      <c r="A21" s="4"/>
      <c r="B21" s="3"/>
      <c r="C21" s="329" t="s">
        <v>21</v>
      </c>
      <c r="D21" s="217"/>
      <c r="E21" s="218"/>
      <c r="F21" s="39"/>
      <c r="G21" s="241" t="s">
        <v>248</v>
      </c>
      <c r="H21" s="263"/>
      <c r="I21" s="263"/>
      <c r="J21" s="263"/>
      <c r="K21" s="264"/>
      <c r="L21" s="93"/>
      <c r="M21" s="345" t="s">
        <v>132</v>
      </c>
      <c r="N21" s="263"/>
      <c r="O21" s="264"/>
      <c r="P21" s="94" t="e">
        <f t="shared" si="0"/>
        <v>#N/A</v>
      </c>
      <c r="Q21" s="3"/>
      <c r="R21" s="4"/>
      <c r="S21" s="3"/>
      <c r="T21" s="3"/>
      <c r="U21" s="3"/>
      <c r="V21" s="3"/>
      <c r="W21" s="3"/>
      <c r="X21" s="3"/>
      <c r="Y21" s="3"/>
      <c r="Z21" s="3"/>
    </row>
    <row r="22" spans="1:26" ht="62.25" customHeight="1" x14ac:dyDescent="0.3">
      <c r="A22" s="4"/>
      <c r="B22" s="3"/>
      <c r="C22" s="330" t="s">
        <v>110</v>
      </c>
      <c r="D22" s="217"/>
      <c r="E22" s="218"/>
      <c r="F22" s="39"/>
      <c r="G22" s="278"/>
      <c r="H22" s="263"/>
      <c r="I22" s="263"/>
      <c r="J22" s="263"/>
      <c r="K22" s="264"/>
      <c r="L22" s="93"/>
      <c r="M22" s="345" t="s">
        <v>133</v>
      </c>
      <c r="N22" s="263"/>
      <c r="O22" s="264"/>
      <c r="P22" s="94" t="e">
        <f t="shared" si="0"/>
        <v>#N/A</v>
      </c>
      <c r="Q22" s="3"/>
      <c r="R22" s="4"/>
      <c r="S22" s="3"/>
      <c r="T22" s="3"/>
      <c r="U22" s="3"/>
      <c r="V22" s="3"/>
      <c r="W22" s="3"/>
      <c r="X22" s="3"/>
      <c r="Y22" s="3"/>
      <c r="Z22" s="3"/>
    </row>
    <row r="23" spans="1:26" ht="49.5" customHeight="1" thickBot="1" x14ac:dyDescent="0.35">
      <c r="A23" s="4"/>
      <c r="B23" s="3"/>
      <c r="C23" s="329" t="s">
        <v>23</v>
      </c>
      <c r="D23" s="217"/>
      <c r="E23" s="218"/>
      <c r="F23" s="39"/>
      <c r="G23" s="268" t="s">
        <v>301</v>
      </c>
      <c r="H23" s="263"/>
      <c r="I23" s="263"/>
      <c r="J23" s="263"/>
      <c r="K23" s="264"/>
      <c r="L23" s="93"/>
      <c r="M23" s="325" t="s">
        <v>132</v>
      </c>
      <c r="N23" s="263"/>
      <c r="O23" s="264"/>
      <c r="P23" s="94" t="e">
        <f t="shared" si="0"/>
        <v>#N/A</v>
      </c>
      <c r="Q23" s="3"/>
      <c r="R23" s="4"/>
      <c r="S23" s="3"/>
      <c r="T23" s="3"/>
      <c r="U23" s="3"/>
      <c r="V23" s="3"/>
      <c r="W23" s="3"/>
      <c r="X23" s="3"/>
      <c r="Y23" s="3"/>
      <c r="Z23" s="3"/>
    </row>
    <row r="24" spans="1:26" ht="49.5" customHeight="1" thickBot="1" x14ac:dyDescent="0.35">
      <c r="A24" s="4"/>
      <c r="B24" s="3"/>
      <c r="C24" s="330" t="s">
        <v>112</v>
      </c>
      <c r="D24" s="217"/>
      <c r="E24" s="218"/>
      <c r="F24" s="39"/>
      <c r="G24" s="352" t="s">
        <v>302</v>
      </c>
      <c r="H24" s="353"/>
      <c r="I24" s="353"/>
      <c r="J24" s="353"/>
      <c r="K24" s="354"/>
      <c r="L24" s="93"/>
      <c r="M24" s="325" t="s">
        <v>132</v>
      </c>
      <c r="N24" s="263"/>
      <c r="O24" s="264"/>
      <c r="P24" s="94" t="e">
        <f t="shared" si="0"/>
        <v>#N/A</v>
      </c>
      <c r="Q24" s="3"/>
      <c r="R24" s="4"/>
      <c r="S24" s="3"/>
      <c r="T24" s="3"/>
      <c r="U24" s="3"/>
      <c r="V24" s="3"/>
      <c r="W24" s="3"/>
      <c r="X24" s="3"/>
      <c r="Y24" s="3"/>
      <c r="Z24" s="3"/>
    </row>
    <row r="25" spans="1:26" ht="49.5" customHeight="1" thickBot="1" x14ac:dyDescent="0.35">
      <c r="A25" s="4"/>
      <c r="B25" s="3"/>
      <c r="C25" s="329" t="s">
        <v>113</v>
      </c>
      <c r="D25" s="217"/>
      <c r="E25" s="218"/>
      <c r="F25" s="39"/>
      <c r="G25" s="334"/>
      <c r="H25" s="335"/>
      <c r="I25" s="335"/>
      <c r="J25" s="335"/>
      <c r="K25" s="336"/>
      <c r="L25" s="93"/>
      <c r="M25" s="345" t="s">
        <v>131</v>
      </c>
      <c r="N25" s="263"/>
      <c r="O25" s="264"/>
      <c r="P25" s="94" t="e">
        <f t="shared" si="0"/>
        <v>#N/A</v>
      </c>
      <c r="Q25" s="3"/>
      <c r="R25" s="4"/>
      <c r="S25" s="3"/>
      <c r="T25" s="3"/>
      <c r="U25" s="3"/>
      <c r="V25" s="3"/>
      <c r="W25" s="3"/>
      <c r="X25" s="3"/>
      <c r="Y25" s="3"/>
      <c r="Z25" s="3"/>
    </row>
    <row r="26" spans="1:26" ht="49.5" customHeight="1" thickBot="1" x14ac:dyDescent="0.35">
      <c r="A26" s="4"/>
      <c r="B26" s="3"/>
      <c r="C26" s="330" t="s">
        <v>114</v>
      </c>
      <c r="D26" s="217"/>
      <c r="E26" s="218"/>
      <c r="F26" s="39"/>
      <c r="G26" s="241" t="s">
        <v>303</v>
      </c>
      <c r="H26" s="263"/>
      <c r="I26" s="263"/>
      <c r="J26" s="263"/>
      <c r="K26" s="264"/>
      <c r="L26" s="93"/>
      <c r="M26" s="325" t="s">
        <v>131</v>
      </c>
      <c r="N26" s="263"/>
      <c r="O26" s="264"/>
      <c r="P26" s="94" t="e">
        <f t="shared" si="0"/>
        <v>#N/A</v>
      </c>
      <c r="Q26" s="3"/>
      <c r="R26" s="4"/>
      <c r="S26" s="3"/>
      <c r="T26" s="3"/>
      <c r="U26" s="3"/>
      <c r="V26" s="3"/>
      <c r="W26" s="3"/>
      <c r="X26" s="3"/>
      <c r="Y26" s="3"/>
      <c r="Z26" s="3"/>
    </row>
    <row r="27" spans="1:26" ht="49.5" hidden="1" customHeight="1" x14ac:dyDescent="0.3">
      <c r="A27" s="4"/>
      <c r="B27" s="3"/>
      <c r="C27" s="330" t="s">
        <v>115</v>
      </c>
      <c r="D27" s="217"/>
      <c r="E27" s="218"/>
      <c r="F27" s="39"/>
      <c r="G27" s="332" t="e">
        <f t="shared" ref="G27:G28" si="1">#REF!</f>
        <v>#REF!</v>
      </c>
      <c r="H27" s="263"/>
      <c r="I27" s="263"/>
      <c r="J27" s="263"/>
      <c r="K27" s="264"/>
      <c r="L27" s="93"/>
      <c r="M27" s="325" t="e">
        <f t="shared" ref="M27:M28" si="2">#REF!</f>
        <v>#REF!</v>
      </c>
      <c r="N27" s="263"/>
      <c r="O27" s="264"/>
      <c r="P27" s="94" t="e">
        <f t="shared" si="0"/>
        <v>#REF!</v>
      </c>
      <c r="Q27" s="3"/>
      <c r="R27" s="4"/>
      <c r="S27" s="3"/>
      <c r="T27" s="3"/>
      <c r="U27" s="3"/>
      <c r="V27" s="3"/>
      <c r="W27" s="3"/>
      <c r="X27" s="3"/>
      <c r="Y27" s="3"/>
      <c r="Z27" s="3"/>
    </row>
    <row r="28" spans="1:26" ht="49.5" hidden="1" customHeight="1" x14ac:dyDescent="0.3">
      <c r="A28" s="4"/>
      <c r="B28" s="3"/>
      <c r="C28" s="329" t="s">
        <v>116</v>
      </c>
      <c r="D28" s="217"/>
      <c r="E28" s="218"/>
      <c r="F28" s="39"/>
      <c r="G28" s="355" t="e">
        <f t="shared" si="1"/>
        <v>#REF!</v>
      </c>
      <c r="H28" s="263"/>
      <c r="I28" s="263"/>
      <c r="J28" s="263"/>
      <c r="K28" s="264"/>
      <c r="L28" s="93"/>
      <c r="M28" s="325" t="e">
        <f t="shared" si="2"/>
        <v>#REF!</v>
      </c>
      <c r="N28" s="263"/>
      <c r="O28" s="264"/>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Innondation</v>
      </c>
      <c r="D30" s="95"/>
      <c r="E30" s="199"/>
      <c r="F30" s="197"/>
      <c r="G30" s="197"/>
      <c r="H30" s="197"/>
      <c r="I30" s="197"/>
      <c r="J30" s="197"/>
      <c r="K30" s="198"/>
      <c r="L30" s="97"/>
      <c r="M30" s="97"/>
      <c r="N30" s="97"/>
      <c r="O30" s="97"/>
      <c r="P30" s="97"/>
      <c r="Q30" s="3"/>
      <c r="R30" s="4"/>
      <c r="S30" s="3"/>
      <c r="T30" s="3"/>
      <c r="U30" s="3"/>
      <c r="V30" s="3"/>
      <c r="W30" s="3"/>
      <c r="X30" s="3"/>
      <c r="Y30" s="3"/>
      <c r="Z30" s="3"/>
    </row>
    <row r="31" spans="1:26" ht="12" customHeight="1" x14ac:dyDescent="0.3">
      <c r="A31" s="4"/>
      <c r="B31" s="3"/>
      <c r="C31" s="320"/>
      <c r="D31" s="217"/>
      <c r="E31" s="217"/>
      <c r="F31" s="217"/>
      <c r="G31" s="217"/>
      <c r="H31" s="217"/>
      <c r="I31" s="217"/>
      <c r="J31" s="217"/>
      <c r="K31" s="217"/>
      <c r="L31" s="217"/>
      <c r="M31" s="217"/>
      <c r="N31" s="217"/>
      <c r="O31" s="217"/>
      <c r="P31" s="218"/>
      <c r="Q31" s="3"/>
      <c r="R31" s="4"/>
      <c r="S31" s="3"/>
      <c r="T31" s="3"/>
      <c r="U31" s="3"/>
      <c r="V31" s="3"/>
      <c r="W31" s="3"/>
      <c r="X31" s="3"/>
      <c r="Y31" s="3"/>
      <c r="Z31" s="3"/>
    </row>
    <row r="32" spans="1:26" ht="31.5" customHeight="1" x14ac:dyDescent="0.3">
      <c r="A32" s="4"/>
      <c r="B32" s="3"/>
      <c r="C32" s="326" t="s">
        <v>17</v>
      </c>
      <c r="D32" s="217"/>
      <c r="E32" s="218"/>
      <c r="F32" s="29"/>
      <c r="G32" s="327" t="s">
        <v>129</v>
      </c>
      <c r="H32" s="224"/>
      <c r="I32" s="224"/>
      <c r="J32" s="224"/>
      <c r="K32" s="328"/>
      <c r="L32" s="29"/>
      <c r="M32" s="348" t="s">
        <v>127</v>
      </c>
      <c r="N32" s="349"/>
      <c r="O32" s="350"/>
      <c r="P32" s="92" t="s">
        <v>128</v>
      </c>
      <c r="Q32" s="3"/>
      <c r="R32" s="4"/>
      <c r="S32" s="3"/>
      <c r="T32" s="3"/>
      <c r="U32" s="3"/>
      <c r="V32" s="3"/>
      <c r="W32" s="3"/>
      <c r="X32" s="3"/>
      <c r="Y32" s="3"/>
      <c r="Z32" s="3"/>
    </row>
    <row r="33" spans="1:26" ht="49.5" customHeight="1" thickBot="1" x14ac:dyDescent="0.35">
      <c r="A33" s="4"/>
      <c r="B33" s="3"/>
      <c r="C33" s="329" t="s">
        <v>19</v>
      </c>
      <c r="D33" s="217"/>
      <c r="E33" s="218"/>
      <c r="F33" s="39"/>
      <c r="G33" s="278" t="s">
        <v>293</v>
      </c>
      <c r="H33" s="263"/>
      <c r="I33" s="263"/>
      <c r="J33" s="263"/>
      <c r="K33" s="264"/>
      <c r="L33" s="93"/>
      <c r="M33" s="345" t="s">
        <v>133</v>
      </c>
      <c r="N33" s="263"/>
      <c r="O33" s="264"/>
      <c r="P33" s="94" t="e">
        <f t="shared" ref="P33:P42" si="3">IF(M33="---","",VLOOKUP(M33,$C$58:$D$61,2,FALSE))</f>
        <v>#N/A</v>
      </c>
      <c r="Q33" s="3"/>
      <c r="R33" s="4"/>
      <c r="S33" s="3"/>
      <c r="T33" s="3"/>
      <c r="U33" s="3"/>
      <c r="V33" s="3"/>
      <c r="W33" s="3"/>
      <c r="X33" s="3"/>
      <c r="Y33" s="3"/>
      <c r="Z33" s="3"/>
    </row>
    <row r="34" spans="1:26" ht="49.5" customHeight="1" thickBot="1" x14ac:dyDescent="0.35">
      <c r="A34" s="4"/>
      <c r="B34" s="3"/>
      <c r="C34" s="330" t="s">
        <v>20</v>
      </c>
      <c r="D34" s="217"/>
      <c r="E34" s="218"/>
      <c r="F34" s="39"/>
      <c r="G34" s="351" t="s">
        <v>286</v>
      </c>
      <c r="H34" s="263"/>
      <c r="I34" s="263"/>
      <c r="J34" s="263"/>
      <c r="K34" s="264"/>
      <c r="L34" s="93"/>
      <c r="M34" s="345" t="s">
        <v>131</v>
      </c>
      <c r="N34" s="263"/>
      <c r="O34" s="264"/>
      <c r="P34" s="94" t="e">
        <f t="shared" si="3"/>
        <v>#N/A</v>
      </c>
      <c r="Q34" s="3"/>
      <c r="R34" s="4"/>
      <c r="S34" s="3"/>
      <c r="T34" s="3"/>
      <c r="U34" s="3"/>
      <c r="V34" s="3"/>
      <c r="W34" s="3"/>
      <c r="X34" s="3"/>
      <c r="Y34" s="3"/>
      <c r="Z34" s="3"/>
    </row>
    <row r="35" spans="1:26" ht="49.5" customHeight="1" thickBot="1" x14ac:dyDescent="0.35">
      <c r="A35" s="4"/>
      <c r="B35" s="3"/>
      <c r="C35" s="329" t="s">
        <v>21</v>
      </c>
      <c r="D35" s="217"/>
      <c r="E35" s="218"/>
      <c r="F35" s="39"/>
      <c r="G35" s="241" t="s">
        <v>287</v>
      </c>
      <c r="H35" s="263"/>
      <c r="I35" s="263"/>
      <c r="J35" s="263"/>
      <c r="K35" s="264"/>
      <c r="L35" s="93"/>
      <c r="M35" s="345" t="s">
        <v>132</v>
      </c>
      <c r="N35" s="263"/>
      <c r="O35" s="264"/>
      <c r="P35" s="94" t="e">
        <f t="shared" si="3"/>
        <v>#N/A</v>
      </c>
      <c r="Q35" s="3"/>
      <c r="R35" s="4"/>
      <c r="S35" s="3"/>
      <c r="T35" s="3"/>
      <c r="U35" s="3"/>
      <c r="V35" s="3"/>
      <c r="W35" s="3"/>
      <c r="X35" s="3"/>
      <c r="Y35" s="3"/>
      <c r="Z35" s="3"/>
    </row>
    <row r="36" spans="1:26" ht="49.5" customHeight="1" thickBot="1" x14ac:dyDescent="0.35">
      <c r="A36" s="4"/>
      <c r="B36" s="3"/>
      <c r="C36" s="330" t="s">
        <v>110</v>
      </c>
      <c r="D36" s="217"/>
      <c r="E36" s="218"/>
      <c r="F36" s="39"/>
      <c r="G36" s="278"/>
      <c r="H36" s="263"/>
      <c r="I36" s="263"/>
      <c r="J36" s="263"/>
      <c r="K36" s="264"/>
      <c r="L36" s="93"/>
      <c r="M36" s="345" t="s">
        <v>133</v>
      </c>
      <c r="N36" s="263"/>
      <c r="O36" s="264"/>
      <c r="P36" s="94" t="e">
        <f t="shared" si="3"/>
        <v>#N/A</v>
      </c>
      <c r="Q36" s="3"/>
      <c r="R36" s="4"/>
      <c r="S36" s="3"/>
      <c r="T36" s="3"/>
      <c r="U36" s="3"/>
      <c r="V36" s="3"/>
      <c r="W36" s="3"/>
      <c r="X36" s="3"/>
      <c r="Y36" s="3"/>
      <c r="Z36" s="3"/>
    </row>
    <row r="37" spans="1:26" ht="49.5" customHeight="1" x14ac:dyDescent="0.3">
      <c r="A37" s="4"/>
      <c r="B37" s="3"/>
      <c r="C37" s="329" t="s">
        <v>23</v>
      </c>
      <c r="D37" s="217"/>
      <c r="E37" s="218"/>
      <c r="F37" s="39"/>
      <c r="G37" s="356"/>
      <c r="H37" s="263"/>
      <c r="I37" s="263"/>
      <c r="J37" s="263"/>
      <c r="K37" s="264"/>
      <c r="L37" s="93"/>
      <c r="M37" s="345" t="s">
        <v>133</v>
      </c>
      <c r="N37" s="263"/>
      <c r="O37" s="264"/>
      <c r="P37" s="94" t="e">
        <f t="shared" si="3"/>
        <v>#N/A</v>
      </c>
      <c r="Q37" s="3"/>
      <c r="R37" s="4"/>
      <c r="S37" s="3"/>
      <c r="T37" s="3"/>
      <c r="U37" s="3"/>
      <c r="V37" s="3"/>
      <c r="W37" s="3"/>
      <c r="X37" s="3"/>
      <c r="Y37" s="3"/>
      <c r="Z37" s="3"/>
    </row>
    <row r="38" spans="1:26" ht="49.5" customHeight="1" x14ac:dyDescent="0.3">
      <c r="A38" s="4"/>
      <c r="B38" s="3"/>
      <c r="C38" s="330" t="s">
        <v>112</v>
      </c>
      <c r="D38" s="217"/>
      <c r="E38" s="218"/>
      <c r="F38" s="39"/>
      <c r="G38" s="241" t="s">
        <v>294</v>
      </c>
      <c r="H38" s="263"/>
      <c r="I38" s="263"/>
      <c r="J38" s="263"/>
      <c r="K38" s="264"/>
      <c r="L38" s="93"/>
      <c r="M38" s="325" t="s">
        <v>133</v>
      </c>
      <c r="N38" s="263"/>
      <c r="O38" s="264"/>
      <c r="P38" s="94" t="e">
        <f t="shared" si="3"/>
        <v>#N/A</v>
      </c>
      <c r="Q38" s="3"/>
      <c r="R38" s="4"/>
      <c r="S38" s="3"/>
      <c r="T38" s="3"/>
      <c r="U38" s="3"/>
      <c r="V38" s="3"/>
      <c r="W38" s="3"/>
      <c r="X38" s="3"/>
      <c r="Y38" s="3"/>
      <c r="Z38" s="3"/>
    </row>
    <row r="39" spans="1:26" ht="49.5" customHeight="1" thickBot="1" x14ac:dyDescent="0.35">
      <c r="A39" s="4"/>
      <c r="B39" s="3"/>
      <c r="C39" s="329" t="s">
        <v>113</v>
      </c>
      <c r="D39" s="217"/>
      <c r="E39" s="218"/>
      <c r="F39" s="39"/>
      <c r="G39" s="241" t="s">
        <v>249</v>
      </c>
      <c r="H39" s="263"/>
      <c r="I39" s="263"/>
      <c r="J39" s="263"/>
      <c r="K39" s="264"/>
      <c r="L39" s="93"/>
      <c r="M39" s="345" t="s">
        <v>132</v>
      </c>
      <c r="N39" s="263"/>
      <c r="O39" s="264"/>
      <c r="P39" s="94" t="e">
        <f t="shared" si="3"/>
        <v>#N/A</v>
      </c>
      <c r="Q39" s="3"/>
      <c r="R39" s="4"/>
      <c r="S39" s="3"/>
      <c r="T39" s="3"/>
      <c r="U39" s="3"/>
      <c r="V39" s="3"/>
      <c r="W39" s="3"/>
      <c r="X39" s="3"/>
      <c r="Y39" s="3"/>
      <c r="Z39" s="3"/>
    </row>
    <row r="40" spans="1:26" ht="49.5" customHeight="1" thickBot="1" x14ac:dyDescent="0.35">
      <c r="A40" s="4"/>
      <c r="B40" s="3"/>
      <c r="C40" s="330" t="s">
        <v>114</v>
      </c>
      <c r="D40" s="217"/>
      <c r="E40" s="218"/>
      <c r="F40" s="39"/>
      <c r="G40" s="241" t="s">
        <v>289</v>
      </c>
      <c r="H40" s="263"/>
      <c r="I40" s="263"/>
      <c r="J40" s="263"/>
      <c r="K40" s="264"/>
      <c r="L40" s="93"/>
      <c r="M40" s="345" t="s">
        <v>132</v>
      </c>
      <c r="N40" s="263"/>
      <c r="O40" s="264"/>
      <c r="P40" s="94" t="e">
        <f t="shared" si="3"/>
        <v>#N/A</v>
      </c>
      <c r="Q40" s="3"/>
      <c r="R40" s="4"/>
      <c r="S40" s="3"/>
      <c r="T40" s="3"/>
      <c r="U40" s="3"/>
      <c r="V40" s="3"/>
      <c r="W40" s="3"/>
      <c r="X40" s="3"/>
      <c r="Y40" s="3"/>
      <c r="Z40" s="3"/>
    </row>
    <row r="41" spans="1:26" ht="49.5" hidden="1" customHeight="1" x14ac:dyDescent="0.3">
      <c r="A41" s="4"/>
      <c r="B41" s="3"/>
      <c r="C41" s="330" t="s">
        <v>115</v>
      </c>
      <c r="D41" s="217"/>
      <c r="E41" s="218"/>
      <c r="F41" s="39"/>
      <c r="G41" s="332" t="e">
        <f t="shared" ref="G41:G42" si="4">G27</f>
        <v>#REF!</v>
      </c>
      <c r="H41" s="263"/>
      <c r="I41" s="263"/>
      <c r="J41" s="263"/>
      <c r="K41" s="264"/>
      <c r="L41" s="93"/>
      <c r="M41" s="325" t="e">
        <f>#REF!</f>
        <v>#REF!</v>
      </c>
      <c r="N41" s="263"/>
      <c r="O41" s="264"/>
      <c r="P41" s="94" t="e">
        <f t="shared" si="3"/>
        <v>#REF!</v>
      </c>
      <c r="Q41" s="3"/>
      <c r="R41" s="4"/>
      <c r="S41" s="3"/>
      <c r="T41" s="3"/>
      <c r="U41" s="3"/>
      <c r="V41" s="3"/>
      <c r="W41" s="3"/>
      <c r="X41" s="3"/>
      <c r="Y41" s="3"/>
      <c r="Z41" s="3"/>
    </row>
    <row r="42" spans="1:26" ht="49.5" hidden="1" customHeight="1" x14ac:dyDescent="0.3">
      <c r="A42" s="4"/>
      <c r="B42" s="3"/>
      <c r="C42" s="329" t="s">
        <v>116</v>
      </c>
      <c r="D42" s="217"/>
      <c r="E42" s="218"/>
      <c r="F42" s="39"/>
      <c r="G42" s="355" t="e">
        <f t="shared" si="4"/>
        <v>#REF!</v>
      </c>
      <c r="H42" s="263"/>
      <c r="I42" s="263"/>
      <c r="J42" s="263"/>
      <c r="K42" s="264"/>
      <c r="L42" s="93"/>
      <c r="M42" s="325" t="e">
        <f>M28</f>
        <v>#REF!</v>
      </c>
      <c r="N42" s="263"/>
      <c r="O42" s="264"/>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331"/>
      <c r="F44" s="197"/>
      <c r="G44" s="197"/>
      <c r="H44" s="197"/>
      <c r="I44" s="197"/>
      <c r="J44" s="197"/>
      <c r="K44" s="198"/>
      <c r="L44" s="100"/>
      <c r="M44" s="100"/>
      <c r="N44" s="100"/>
      <c r="O44" s="100"/>
      <c r="P44" s="100"/>
      <c r="Q44" s="3"/>
      <c r="R44" s="4"/>
      <c r="S44" s="3"/>
      <c r="T44" s="3"/>
      <c r="U44" s="3"/>
      <c r="V44" s="3"/>
      <c r="W44" s="3"/>
      <c r="X44" s="3"/>
      <c r="Y44" s="3"/>
      <c r="Z44" s="3"/>
    </row>
    <row r="45" spans="1:26" ht="12" customHeight="1" x14ac:dyDescent="0.3">
      <c r="A45" s="4"/>
      <c r="B45" s="3"/>
      <c r="C45" s="320"/>
      <c r="D45" s="217"/>
      <c r="E45" s="217"/>
      <c r="F45" s="217"/>
      <c r="G45" s="217"/>
      <c r="H45" s="217"/>
      <c r="I45" s="217"/>
      <c r="J45" s="217"/>
      <c r="K45" s="217"/>
      <c r="L45" s="217"/>
      <c r="M45" s="217"/>
      <c r="N45" s="217"/>
      <c r="O45" s="217"/>
      <c r="P45" s="218"/>
      <c r="Q45" s="3"/>
      <c r="R45" s="4"/>
      <c r="S45" s="3"/>
      <c r="T45" s="3"/>
      <c r="U45" s="3"/>
      <c r="V45" s="3"/>
      <c r="W45" s="3"/>
      <c r="X45" s="3"/>
      <c r="Y45" s="3"/>
      <c r="Z45" s="3"/>
    </row>
    <row r="46" spans="1:26" ht="31.5" customHeight="1" x14ac:dyDescent="0.3">
      <c r="A46" s="4"/>
      <c r="B46" s="3"/>
      <c r="C46" s="326" t="s">
        <v>17</v>
      </c>
      <c r="D46" s="217"/>
      <c r="E46" s="218"/>
      <c r="F46" s="29"/>
      <c r="G46" s="327" t="s">
        <v>130</v>
      </c>
      <c r="H46" s="224"/>
      <c r="I46" s="224"/>
      <c r="J46" s="224"/>
      <c r="K46" s="328"/>
      <c r="L46" s="29"/>
      <c r="M46" s="348" t="s">
        <v>127</v>
      </c>
      <c r="N46" s="349"/>
      <c r="O46" s="350"/>
      <c r="P46" s="92" t="s">
        <v>128</v>
      </c>
      <c r="Q46" s="3"/>
      <c r="R46" s="4"/>
      <c r="S46" s="3"/>
      <c r="T46" s="3"/>
      <c r="U46" s="3"/>
      <c r="V46" s="3"/>
      <c r="W46" s="3"/>
      <c r="X46" s="3"/>
      <c r="Y46" s="3"/>
      <c r="Z46" s="3"/>
    </row>
    <row r="47" spans="1:26" ht="49.5" customHeight="1" x14ac:dyDescent="0.3">
      <c r="A47" s="4"/>
      <c r="B47" s="3"/>
      <c r="C47" s="329" t="s">
        <v>19</v>
      </c>
      <c r="D47" s="217"/>
      <c r="E47" s="218"/>
      <c r="F47" s="39"/>
      <c r="G47" s="351" t="s">
        <v>285</v>
      </c>
      <c r="H47" s="263"/>
      <c r="I47" s="263"/>
      <c r="J47" s="263"/>
      <c r="K47" s="264"/>
      <c r="L47" s="93"/>
      <c r="M47" s="345" t="s">
        <v>133</v>
      </c>
      <c r="N47" s="263"/>
      <c r="O47" s="264"/>
      <c r="P47" s="94" t="e">
        <f>IF(M47="---","",VLOOKUP(M47,$C$58:$D$61,2,FALSE))</f>
        <v>#N/A</v>
      </c>
      <c r="Q47" s="3"/>
      <c r="R47" s="4"/>
      <c r="S47" s="3"/>
      <c r="T47" s="3"/>
      <c r="U47" s="3"/>
      <c r="V47" s="3"/>
      <c r="W47" s="3"/>
      <c r="X47" s="3"/>
      <c r="Y47" s="3"/>
      <c r="Z47" s="3"/>
    </row>
    <row r="48" spans="1:26" ht="49.5" customHeight="1" x14ac:dyDescent="0.3">
      <c r="A48" s="4"/>
      <c r="B48" s="3"/>
      <c r="C48" s="330" t="s">
        <v>20</v>
      </c>
      <c r="D48" s="217"/>
      <c r="E48" s="218"/>
      <c r="F48" s="39"/>
      <c r="G48" s="351" t="s">
        <v>286</v>
      </c>
      <c r="H48" s="263"/>
      <c r="I48" s="263"/>
      <c r="J48" s="263"/>
      <c r="K48" s="264"/>
      <c r="L48" s="93"/>
      <c r="M48" s="345" t="s">
        <v>131</v>
      </c>
      <c r="N48" s="263"/>
      <c r="O48" s="264"/>
      <c r="P48" s="94" t="e">
        <f>IF(M48="---","",VLOOKUP(M48,$C$58:$D$61,2,FALSE))</f>
        <v>#N/A</v>
      </c>
      <c r="Q48" s="3"/>
      <c r="R48" s="4"/>
      <c r="S48" s="3"/>
      <c r="T48" s="3"/>
      <c r="U48" s="3"/>
      <c r="V48" s="3"/>
      <c r="W48" s="3"/>
      <c r="X48" s="3"/>
      <c r="Y48" s="3"/>
      <c r="Z48" s="3"/>
    </row>
    <row r="49" spans="1:26" ht="49.5" customHeight="1" thickBot="1" x14ac:dyDescent="0.35">
      <c r="A49" s="4"/>
      <c r="B49" s="3"/>
      <c r="C49" s="329" t="s">
        <v>21</v>
      </c>
      <c r="D49" s="217"/>
      <c r="E49" s="218"/>
      <c r="F49" s="39"/>
      <c r="G49" s="241" t="s">
        <v>287</v>
      </c>
      <c r="H49" s="263"/>
      <c r="I49" s="263"/>
      <c r="J49" s="263"/>
      <c r="K49" s="264"/>
      <c r="L49" s="93"/>
      <c r="M49" s="345" t="s">
        <v>131</v>
      </c>
      <c r="N49" s="263"/>
      <c r="O49" s="264"/>
      <c r="P49" s="94" t="e">
        <f>IF(M49="---","",VLOOKUP(M49,$C$58:$D$61,2,FALSE))</f>
        <v>#N/A</v>
      </c>
      <c r="Q49" s="3"/>
      <c r="R49" s="4"/>
      <c r="S49" s="3"/>
      <c r="T49" s="3"/>
      <c r="U49" s="3"/>
      <c r="V49" s="3"/>
      <c r="W49" s="3"/>
      <c r="X49" s="3"/>
      <c r="Y49" s="3"/>
      <c r="Z49" s="3"/>
    </row>
    <row r="50" spans="1:26" ht="49.5" customHeight="1" thickBot="1" x14ac:dyDescent="0.35">
      <c r="A50" s="191"/>
      <c r="B50" s="3"/>
      <c r="C50" s="330" t="s">
        <v>112</v>
      </c>
      <c r="D50" s="217"/>
      <c r="E50" s="218"/>
      <c r="F50" s="192"/>
      <c r="G50" s="352"/>
      <c r="H50" s="353"/>
      <c r="I50" s="353"/>
      <c r="J50" s="353"/>
      <c r="K50" s="354"/>
      <c r="L50" s="193"/>
      <c r="M50" s="306" t="s">
        <v>131</v>
      </c>
      <c r="N50" s="307"/>
      <c r="O50" s="308"/>
      <c r="P50" s="94"/>
      <c r="Q50" s="3"/>
      <c r="R50" s="191"/>
      <c r="S50" s="3"/>
      <c r="T50" s="3"/>
      <c r="U50" s="3"/>
      <c r="V50" s="3"/>
      <c r="W50" s="3"/>
      <c r="X50" s="3"/>
      <c r="Y50" s="3"/>
      <c r="Z50" s="3"/>
    </row>
    <row r="51" spans="1:26" ht="49.5" customHeight="1" thickBot="1" x14ac:dyDescent="0.35">
      <c r="A51" s="4"/>
      <c r="B51" s="3"/>
      <c r="C51" s="329" t="s">
        <v>113</v>
      </c>
      <c r="D51" s="217"/>
      <c r="E51" s="218"/>
      <c r="F51" s="39"/>
      <c r="G51" s="333" t="s">
        <v>288</v>
      </c>
      <c r="H51" s="263"/>
      <c r="I51" s="263"/>
      <c r="J51" s="263"/>
      <c r="K51" s="264"/>
      <c r="L51" s="93"/>
      <c r="M51" s="346" t="s">
        <v>131</v>
      </c>
      <c r="N51" s="263"/>
      <c r="O51" s="264"/>
      <c r="P51" s="94" t="e">
        <f>IF(M51="---","",VLOOKUP(M51,$C$58:$D$61,2,FALSE))</f>
        <v>#N/A</v>
      </c>
      <c r="Q51" s="3"/>
      <c r="R51" s="4"/>
      <c r="S51" s="3"/>
      <c r="T51" s="3"/>
      <c r="U51" s="3"/>
      <c r="V51" s="3"/>
      <c r="W51" s="3"/>
      <c r="X51" s="3"/>
      <c r="Y51" s="3"/>
      <c r="Z51" s="3"/>
    </row>
    <row r="52" spans="1:26" ht="49.5" customHeight="1" thickBot="1" x14ac:dyDescent="0.35">
      <c r="A52" s="4"/>
      <c r="B52" s="3"/>
      <c r="C52" s="330" t="s">
        <v>114</v>
      </c>
      <c r="D52" s="217"/>
      <c r="E52" s="218"/>
      <c r="F52" s="39"/>
      <c r="G52" s="241" t="s">
        <v>289</v>
      </c>
      <c r="H52" s="263"/>
      <c r="I52" s="263"/>
      <c r="J52" s="263"/>
      <c r="K52" s="264"/>
      <c r="L52" s="93"/>
      <c r="M52" s="325" t="s">
        <v>131</v>
      </c>
      <c r="N52" s="263"/>
      <c r="O52" s="264"/>
      <c r="P52" s="94" t="e">
        <f>IF(M52="---","",VLOOKUP(M52,$C$58:$D$61,2,FALSE))</f>
        <v>#N/A</v>
      </c>
      <c r="Q52" s="3"/>
      <c r="R52" s="4"/>
      <c r="S52" s="3"/>
      <c r="T52" s="3"/>
      <c r="U52" s="3"/>
      <c r="V52" s="3"/>
      <c r="W52" s="3"/>
      <c r="X52" s="3"/>
      <c r="Y52" s="3"/>
      <c r="Z52" s="3"/>
    </row>
    <row r="53" spans="1:26" ht="49.5" hidden="1" customHeight="1" x14ac:dyDescent="0.3">
      <c r="A53" s="4"/>
      <c r="B53" s="3"/>
      <c r="C53" s="330" t="s">
        <v>115</v>
      </c>
      <c r="D53" s="217"/>
      <c r="E53" s="218"/>
      <c r="F53" s="39"/>
      <c r="G53" s="332" t="e">
        <f t="shared" ref="G53:G54" si="5">G41</f>
        <v>#REF!</v>
      </c>
      <c r="H53" s="263"/>
      <c r="I53" s="263"/>
      <c r="J53" s="263"/>
      <c r="K53" s="264"/>
      <c r="L53" s="93"/>
      <c r="M53" s="316" t="e">
        <f t="shared" ref="M53:M54" si="6">M41</f>
        <v>#REF!</v>
      </c>
      <c r="N53" s="263"/>
      <c r="O53" s="264"/>
      <c r="P53" s="94" t="e">
        <f>IF(M53="---","",VLOOKUP(M53,$C$58:$D$61,2,FALSE))</f>
        <v>#REF!</v>
      </c>
      <c r="Q53" s="3"/>
      <c r="R53" s="4"/>
      <c r="S53" s="3"/>
      <c r="T53" s="3"/>
      <c r="U53" s="3"/>
      <c r="V53" s="3"/>
      <c r="W53" s="3"/>
      <c r="X53" s="3"/>
      <c r="Y53" s="3"/>
      <c r="Z53" s="3"/>
    </row>
    <row r="54" spans="1:26" ht="49.5" hidden="1" customHeight="1" x14ac:dyDescent="0.3">
      <c r="A54" s="4"/>
      <c r="B54" s="3"/>
      <c r="C54" s="329" t="s">
        <v>116</v>
      </c>
      <c r="D54" s="217"/>
      <c r="E54" s="218"/>
      <c r="F54" s="39"/>
      <c r="G54" s="355" t="e">
        <f t="shared" si="5"/>
        <v>#REF!</v>
      </c>
      <c r="H54" s="263"/>
      <c r="I54" s="263"/>
      <c r="J54" s="263"/>
      <c r="K54" s="264"/>
      <c r="L54" s="93"/>
      <c r="M54" s="325" t="e">
        <f t="shared" si="6"/>
        <v>#REF!</v>
      </c>
      <c r="N54" s="263"/>
      <c r="O54" s="264"/>
      <c r="P54" s="94" t="e">
        <f>IF(M54="---","",VLOOKUP(M54,$C$58:$D$61,2,FALSE))</f>
        <v>#REF!</v>
      </c>
      <c r="Q54" s="3"/>
      <c r="R54" s="4"/>
      <c r="S54" s="3"/>
      <c r="T54" s="3"/>
      <c r="U54" s="3"/>
      <c r="V54" s="3"/>
      <c r="W54" s="3"/>
      <c r="X54" s="3"/>
      <c r="Y54" s="3"/>
      <c r="Z54" s="3"/>
    </row>
    <row r="55" spans="1:26" ht="12" customHeight="1" x14ac:dyDescent="0.3">
      <c r="A55" s="4"/>
      <c r="B55" s="3"/>
      <c r="C55" s="3"/>
      <c r="D55" s="3"/>
      <c r="E55" s="3"/>
      <c r="F55" s="3"/>
      <c r="G55" s="3"/>
      <c r="H55" s="3"/>
      <c r="I55" s="3"/>
      <c r="J55" s="3"/>
      <c r="K55" s="3"/>
      <c r="L55" s="3"/>
      <c r="M55" s="3"/>
      <c r="N55" s="3"/>
      <c r="O55" s="3"/>
      <c r="P55" s="3"/>
      <c r="Q55" s="3"/>
      <c r="R55" s="4"/>
      <c r="S55" s="3"/>
      <c r="T55" s="3"/>
      <c r="U55" s="3"/>
      <c r="V55" s="3"/>
      <c r="W55" s="3"/>
      <c r="X55" s="3"/>
      <c r="Y55" s="3"/>
      <c r="Z55" s="3"/>
    </row>
    <row r="56" spans="1:26" ht="12" customHeight="1" x14ac:dyDescent="0.3">
      <c r="A56" s="4"/>
      <c r="B56" s="4"/>
      <c r="C56" s="4"/>
      <c r="D56" s="4"/>
      <c r="E56" s="4"/>
      <c r="F56" s="4"/>
      <c r="G56" s="4"/>
      <c r="H56" s="4"/>
      <c r="I56" s="4"/>
      <c r="J56" s="4"/>
      <c r="K56" s="4"/>
      <c r="L56" s="4"/>
      <c r="M56" s="4"/>
      <c r="N56" s="4"/>
      <c r="O56" s="4"/>
      <c r="P56" s="4"/>
      <c r="Q56" s="4"/>
      <c r="R56" s="4"/>
      <c r="S56" s="3"/>
      <c r="T56" s="3"/>
      <c r="U56" s="3"/>
      <c r="V56" s="3"/>
      <c r="W56" s="3"/>
      <c r="X56" s="3"/>
      <c r="Y56" s="3"/>
      <c r="Z56" s="3"/>
    </row>
    <row r="57" spans="1:26" ht="31.5" customHeight="1" x14ac:dyDescent="0.3">
      <c r="A57" s="4"/>
      <c r="B57" s="3"/>
      <c r="C57" s="96" t="s">
        <v>83</v>
      </c>
      <c r="D57" s="95"/>
      <c r="E57" s="199"/>
      <c r="F57" s="197"/>
      <c r="G57" s="197"/>
      <c r="H57" s="197"/>
      <c r="I57" s="197"/>
      <c r="J57" s="197"/>
      <c r="K57" s="198"/>
      <c r="L57" s="97"/>
      <c r="M57" s="97"/>
      <c r="N57" s="97"/>
      <c r="O57" s="97"/>
      <c r="P57" s="97"/>
      <c r="Q57" s="3"/>
      <c r="R57" s="4"/>
      <c r="S57" s="3"/>
      <c r="T57" s="3"/>
      <c r="U57" s="3"/>
      <c r="V57" s="3"/>
      <c r="W57" s="3"/>
      <c r="X57" s="3"/>
      <c r="Y57" s="3"/>
      <c r="Z57" s="3"/>
    </row>
    <row r="58" spans="1:26" ht="12" customHeight="1" x14ac:dyDescent="0.3">
      <c r="A58" s="4"/>
      <c r="B58" s="3"/>
      <c r="C58" s="320"/>
      <c r="D58" s="217"/>
      <c r="E58" s="217"/>
      <c r="F58" s="217"/>
      <c r="G58" s="217"/>
      <c r="H58" s="217"/>
      <c r="I58" s="217"/>
      <c r="J58" s="217"/>
      <c r="K58" s="217"/>
      <c r="L58" s="217"/>
      <c r="M58" s="217"/>
      <c r="N58" s="217"/>
      <c r="O58" s="217"/>
      <c r="P58" s="218"/>
      <c r="Q58" s="3"/>
      <c r="R58" s="4"/>
      <c r="S58" s="3"/>
      <c r="T58" s="3"/>
      <c r="U58" s="3"/>
      <c r="V58" s="3"/>
      <c r="W58" s="3"/>
      <c r="X58" s="3"/>
      <c r="Y58" s="3"/>
      <c r="Z58" s="3"/>
    </row>
    <row r="59" spans="1:26" ht="31.5" customHeight="1" thickBot="1" x14ac:dyDescent="0.35">
      <c r="A59" s="4"/>
      <c r="B59" s="3"/>
      <c r="C59" s="326" t="s">
        <v>17</v>
      </c>
      <c r="D59" s="217"/>
      <c r="E59" s="218"/>
      <c r="F59" s="29"/>
      <c r="G59" s="327" t="s">
        <v>126</v>
      </c>
      <c r="H59" s="224"/>
      <c r="I59" s="224"/>
      <c r="J59" s="224"/>
      <c r="K59" s="328"/>
      <c r="L59" s="29"/>
      <c r="M59" s="348" t="s">
        <v>127</v>
      </c>
      <c r="N59" s="349"/>
      <c r="O59" s="350"/>
      <c r="P59" s="92" t="s">
        <v>128</v>
      </c>
      <c r="Q59" s="3"/>
      <c r="R59" s="4"/>
      <c r="S59" s="3"/>
      <c r="T59" s="3"/>
      <c r="U59" s="3"/>
      <c r="V59" s="3"/>
      <c r="W59" s="3"/>
      <c r="X59" s="3"/>
      <c r="Y59" s="3"/>
      <c r="Z59" s="3"/>
    </row>
    <row r="60" spans="1:26" ht="49.5" customHeight="1" thickBot="1" x14ac:dyDescent="0.35">
      <c r="A60" s="4"/>
      <c r="B60" s="3"/>
      <c r="C60" s="329" t="s">
        <v>19</v>
      </c>
      <c r="D60" s="217"/>
      <c r="E60" s="218"/>
      <c r="F60" s="39"/>
      <c r="G60" s="278" t="s">
        <v>293</v>
      </c>
      <c r="H60" s="263"/>
      <c r="I60" s="263"/>
      <c r="J60" s="263"/>
      <c r="K60" s="264"/>
      <c r="L60" s="93"/>
      <c r="M60" s="345" t="s">
        <v>133</v>
      </c>
      <c r="N60" s="263"/>
      <c r="O60" s="264"/>
      <c r="P60" s="94" t="e">
        <f t="shared" ref="P60:P67" si="7">IF(M60="---","",VLOOKUP(M60,$C$58:$D$61,2,FALSE))</f>
        <v>#N/A</v>
      </c>
      <c r="Q60" s="3"/>
      <c r="R60" s="4"/>
      <c r="S60" s="3"/>
      <c r="T60" s="3"/>
      <c r="U60" s="3"/>
      <c r="V60" s="3"/>
      <c r="W60" s="3"/>
      <c r="X60" s="3"/>
      <c r="Y60" s="3"/>
      <c r="Z60" s="3"/>
    </row>
    <row r="61" spans="1:26" ht="49.5" customHeight="1" thickBot="1" x14ac:dyDescent="0.35">
      <c r="A61" s="4"/>
      <c r="B61" s="3"/>
      <c r="C61" s="330" t="s">
        <v>20</v>
      </c>
      <c r="D61" s="217"/>
      <c r="E61" s="218"/>
      <c r="F61" s="39"/>
      <c r="G61" s="351" t="s">
        <v>286</v>
      </c>
      <c r="H61" s="263"/>
      <c r="I61" s="263"/>
      <c r="J61" s="263"/>
      <c r="K61" s="264"/>
      <c r="L61" s="93"/>
      <c r="M61" s="345" t="s">
        <v>131</v>
      </c>
      <c r="N61" s="263"/>
      <c r="O61" s="264"/>
      <c r="P61" s="94" t="e">
        <f t="shared" si="7"/>
        <v>#N/A</v>
      </c>
      <c r="Q61" s="3"/>
      <c r="R61" s="4"/>
      <c r="S61" s="3"/>
      <c r="T61" s="3"/>
      <c r="U61" s="3"/>
      <c r="V61" s="3"/>
      <c r="W61" s="3"/>
      <c r="X61" s="3"/>
      <c r="Y61" s="3"/>
      <c r="Z61" s="3"/>
    </row>
    <row r="62" spans="1:26" ht="49.5" customHeight="1" thickBot="1" x14ac:dyDescent="0.35">
      <c r="A62" s="4"/>
      <c r="B62" s="3"/>
      <c r="C62" s="329" t="s">
        <v>21</v>
      </c>
      <c r="D62" s="217"/>
      <c r="E62" s="218"/>
      <c r="F62" s="39"/>
      <c r="G62" s="241" t="s">
        <v>287</v>
      </c>
      <c r="H62" s="263"/>
      <c r="I62" s="263"/>
      <c r="J62" s="263"/>
      <c r="K62" s="264"/>
      <c r="L62" s="93"/>
      <c r="M62" s="345" t="s">
        <v>132</v>
      </c>
      <c r="N62" s="263"/>
      <c r="O62" s="264"/>
      <c r="P62" s="94" t="e">
        <f t="shared" si="7"/>
        <v>#N/A</v>
      </c>
      <c r="Q62" s="3"/>
      <c r="R62" s="4"/>
      <c r="S62" s="3"/>
      <c r="T62" s="3"/>
      <c r="U62" s="3"/>
      <c r="V62" s="3"/>
      <c r="W62" s="3"/>
      <c r="X62" s="3"/>
      <c r="Y62" s="3"/>
      <c r="Z62" s="3"/>
    </row>
    <row r="63" spans="1:26" ht="49.5" customHeight="1" thickBot="1" x14ac:dyDescent="0.35">
      <c r="A63" s="4"/>
      <c r="B63" s="3"/>
      <c r="C63" s="330" t="s">
        <v>110</v>
      </c>
      <c r="D63" s="217"/>
      <c r="E63" s="218"/>
      <c r="F63" s="39"/>
      <c r="G63" s="278"/>
      <c r="H63" s="263"/>
      <c r="I63" s="263"/>
      <c r="J63" s="263"/>
      <c r="K63" s="264"/>
      <c r="L63" s="93"/>
      <c r="M63" s="345" t="s">
        <v>133</v>
      </c>
      <c r="N63" s="263"/>
      <c r="O63" s="264"/>
      <c r="P63" s="94" t="e">
        <f t="shared" si="7"/>
        <v>#N/A</v>
      </c>
      <c r="Q63" s="3"/>
      <c r="R63" s="4"/>
      <c r="S63" s="3"/>
      <c r="T63" s="3"/>
      <c r="U63" s="3"/>
      <c r="V63" s="3"/>
      <c r="W63" s="3"/>
      <c r="X63" s="3"/>
      <c r="Y63" s="3"/>
      <c r="Z63" s="3"/>
    </row>
    <row r="64" spans="1:26" ht="49.5" customHeight="1" thickBot="1" x14ac:dyDescent="0.35">
      <c r="A64" s="4"/>
      <c r="B64" s="3"/>
      <c r="C64" s="329" t="s">
        <v>23</v>
      </c>
      <c r="D64" s="217"/>
      <c r="E64" s="218"/>
      <c r="F64" s="39"/>
      <c r="G64" s="356"/>
      <c r="H64" s="263"/>
      <c r="I64" s="263"/>
      <c r="J64" s="263"/>
      <c r="K64" s="264"/>
      <c r="L64" s="93"/>
      <c r="M64" s="345" t="s">
        <v>133</v>
      </c>
      <c r="N64" s="263"/>
      <c r="O64" s="264"/>
      <c r="P64" s="94" t="e">
        <f t="shared" si="7"/>
        <v>#N/A</v>
      </c>
      <c r="Q64" s="3"/>
      <c r="R64" s="4"/>
      <c r="S64" s="3"/>
      <c r="T64" s="3"/>
      <c r="U64" s="3"/>
      <c r="V64" s="3"/>
      <c r="W64" s="3"/>
      <c r="X64" s="3"/>
      <c r="Y64" s="3"/>
      <c r="Z64" s="3"/>
    </row>
    <row r="65" spans="1:26" ht="49.5" customHeight="1" thickBot="1" x14ac:dyDescent="0.35">
      <c r="A65" s="4"/>
      <c r="B65" s="3"/>
      <c r="C65" s="330" t="s">
        <v>112</v>
      </c>
      <c r="D65" s="217"/>
      <c r="E65" s="218"/>
      <c r="F65" s="39"/>
      <c r="G65" s="241" t="s">
        <v>294</v>
      </c>
      <c r="H65" s="263"/>
      <c r="I65" s="263"/>
      <c r="J65" s="263"/>
      <c r="K65" s="264"/>
      <c r="L65" s="93"/>
      <c r="M65" s="325" t="s">
        <v>133</v>
      </c>
      <c r="N65" s="263"/>
      <c r="O65" s="264"/>
      <c r="P65" s="94" t="e">
        <f t="shared" si="7"/>
        <v>#N/A</v>
      </c>
      <c r="Q65" s="3"/>
      <c r="R65" s="4"/>
      <c r="S65" s="3"/>
      <c r="T65" s="3"/>
      <c r="U65" s="3"/>
      <c r="V65" s="3"/>
      <c r="W65" s="3"/>
      <c r="X65" s="3"/>
      <c r="Y65" s="3"/>
      <c r="Z65" s="3"/>
    </row>
    <row r="66" spans="1:26" ht="49.5" customHeight="1" thickBot="1" x14ac:dyDescent="0.35">
      <c r="A66" s="4"/>
      <c r="B66" s="3"/>
      <c r="C66" s="329" t="s">
        <v>113</v>
      </c>
      <c r="D66" s="217"/>
      <c r="E66" s="218"/>
      <c r="F66" s="39"/>
      <c r="G66" s="241" t="s">
        <v>249</v>
      </c>
      <c r="H66" s="263"/>
      <c r="I66" s="263"/>
      <c r="J66" s="263"/>
      <c r="K66" s="264"/>
      <c r="L66" s="93"/>
      <c r="M66" s="345" t="s">
        <v>132</v>
      </c>
      <c r="N66" s="263"/>
      <c r="O66" s="264"/>
      <c r="P66" s="94" t="e">
        <f t="shared" si="7"/>
        <v>#N/A</v>
      </c>
      <c r="Q66" s="3"/>
      <c r="R66" s="4"/>
      <c r="S66" s="3"/>
      <c r="T66" s="3"/>
      <c r="U66" s="3"/>
      <c r="V66" s="3"/>
      <c r="W66" s="3"/>
      <c r="X66" s="3"/>
      <c r="Y66" s="3"/>
      <c r="Z66" s="3"/>
    </row>
    <row r="67" spans="1:26" ht="49.5" customHeight="1" thickBot="1" x14ac:dyDescent="0.35">
      <c r="A67" s="4"/>
      <c r="B67" s="3"/>
      <c r="C67" s="330" t="s">
        <v>114</v>
      </c>
      <c r="D67" s="217"/>
      <c r="E67" s="218"/>
      <c r="F67" s="39"/>
      <c r="G67" s="241" t="s">
        <v>289</v>
      </c>
      <c r="H67" s="263"/>
      <c r="I67" s="263"/>
      <c r="J67" s="263"/>
      <c r="K67" s="264"/>
      <c r="L67" s="93"/>
      <c r="M67" s="345" t="s">
        <v>132</v>
      </c>
      <c r="N67" s="263"/>
      <c r="O67" s="264"/>
      <c r="P67" s="94" t="e">
        <f t="shared" si="7"/>
        <v>#N/A</v>
      </c>
      <c r="Q67" s="3"/>
      <c r="R67" s="4"/>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137">
    <mergeCell ref="C65:E65"/>
    <mergeCell ref="G65:K65"/>
    <mergeCell ref="M65:O65"/>
    <mergeCell ref="C66:E66"/>
    <mergeCell ref="G66:K66"/>
    <mergeCell ref="M66:O66"/>
    <mergeCell ref="C67:E67"/>
    <mergeCell ref="G67:K67"/>
    <mergeCell ref="M67:O67"/>
    <mergeCell ref="C62:E62"/>
    <mergeCell ref="G62:K62"/>
    <mergeCell ref="M62:O62"/>
    <mergeCell ref="C63:E63"/>
    <mergeCell ref="G63:K63"/>
    <mergeCell ref="M63:O63"/>
    <mergeCell ref="C64:E64"/>
    <mergeCell ref="G64:K64"/>
    <mergeCell ref="M64:O64"/>
    <mergeCell ref="E57:K57"/>
    <mergeCell ref="C58:P58"/>
    <mergeCell ref="C59:E59"/>
    <mergeCell ref="G59:K59"/>
    <mergeCell ref="M59:O59"/>
    <mergeCell ref="C60:E60"/>
    <mergeCell ref="G60:K60"/>
    <mergeCell ref="M60:O60"/>
    <mergeCell ref="C61:E61"/>
    <mergeCell ref="G61:K61"/>
    <mergeCell ref="M61:O61"/>
    <mergeCell ref="C50:E50"/>
    <mergeCell ref="G50:K50"/>
    <mergeCell ref="M50:O50"/>
    <mergeCell ref="C54:E54"/>
    <mergeCell ref="G54:K54"/>
    <mergeCell ref="M54:O54"/>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 ref="C38:E38"/>
    <mergeCell ref="C39:E39"/>
    <mergeCell ref="C40:E40"/>
    <mergeCell ref="G33:K33"/>
    <mergeCell ref="M33:O33"/>
    <mergeCell ref="G52:K52"/>
    <mergeCell ref="G53:K53"/>
    <mergeCell ref="C51:E51"/>
    <mergeCell ref="G51:K51"/>
    <mergeCell ref="M51:O51"/>
    <mergeCell ref="C52:E52"/>
    <mergeCell ref="M52:O52"/>
    <mergeCell ref="M53:O53"/>
    <mergeCell ref="C53:E53"/>
    <mergeCell ref="C49:E49"/>
    <mergeCell ref="G48:K48"/>
    <mergeCell ref="G49:K49"/>
    <mergeCell ref="C41:E41"/>
    <mergeCell ref="C42:E42"/>
    <mergeCell ref="M34:O34"/>
    <mergeCell ref="M35:O35"/>
    <mergeCell ref="M37:O37"/>
    <mergeCell ref="M38:O38"/>
    <mergeCell ref="M39:O39"/>
    <mergeCell ref="M40:O40"/>
    <mergeCell ref="M41:O41"/>
    <mergeCell ref="M42:O42"/>
    <mergeCell ref="C46:E46"/>
    <mergeCell ref="C47:E47"/>
    <mergeCell ref="G47:K47"/>
    <mergeCell ref="M47:O47"/>
    <mergeCell ref="C48:E48"/>
    <mergeCell ref="M48:O48"/>
    <mergeCell ref="M49:O49"/>
    <mergeCell ref="C33:E33"/>
    <mergeCell ref="C19:E19"/>
    <mergeCell ref="C20:E20"/>
    <mergeCell ref="C21:E21"/>
    <mergeCell ref="C22:E22"/>
    <mergeCell ref="C23:E23"/>
    <mergeCell ref="C24:E24"/>
    <mergeCell ref="C25:E25"/>
    <mergeCell ref="G22:K22"/>
    <mergeCell ref="G23:K23"/>
    <mergeCell ref="G24:K24"/>
    <mergeCell ref="G25:K25"/>
    <mergeCell ref="G26:K26"/>
    <mergeCell ref="G27:K27"/>
    <mergeCell ref="G28:K28"/>
    <mergeCell ref="E30:K30"/>
    <mergeCell ref="C31:P31"/>
    <mergeCell ref="M32:O32"/>
    <mergeCell ref="G21:K21"/>
    <mergeCell ref="M21:O21"/>
    <mergeCell ref="M22:O22"/>
    <mergeCell ref="M25:O25"/>
    <mergeCell ref="M26:O26"/>
    <mergeCell ref="C26:E26"/>
    <mergeCell ref="C27:E27"/>
    <mergeCell ref="C28:E28"/>
    <mergeCell ref="C32:E32"/>
    <mergeCell ref="M23:O23"/>
    <mergeCell ref="M24:O24"/>
    <mergeCell ref="M27:O27"/>
    <mergeCell ref="M28:O28"/>
    <mergeCell ref="G32:K32"/>
    <mergeCell ref="E16:K16"/>
    <mergeCell ref="C17:P17"/>
    <mergeCell ref="C18:E18"/>
    <mergeCell ref="M18:O18"/>
    <mergeCell ref="M19:O19"/>
    <mergeCell ref="G18:K18"/>
    <mergeCell ref="G19:K19"/>
    <mergeCell ref="G20:K20"/>
    <mergeCell ref="M20:O20"/>
    <mergeCell ref="A1:R1"/>
    <mergeCell ref="A4:C6"/>
    <mergeCell ref="E5:I5"/>
    <mergeCell ref="K5:L5"/>
    <mergeCell ref="M5:P5"/>
    <mergeCell ref="A8:R8"/>
    <mergeCell ref="C10:P10"/>
    <mergeCell ref="C12:P12"/>
    <mergeCell ref="C14:P14"/>
  </mergeCells>
  <conditionalFormatting sqref="P19:P28 P33:P42 P47:P54">
    <cfRule type="cellIs" dxfId="22" priority="5" operator="equal">
      <formula>0</formula>
    </cfRule>
    <cfRule type="cellIs" dxfId="21" priority="6" operator="equal">
      <formula>0.33</formula>
    </cfRule>
    <cfRule type="cellIs" dxfId="20" priority="7" operator="equal">
      <formula>0.67</formula>
    </cfRule>
    <cfRule type="cellIs" dxfId="19" priority="8" operator="equal">
      <formula>1</formula>
    </cfRule>
  </conditionalFormatting>
  <conditionalFormatting sqref="P60:P67">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33:M42 M47:M54 M60:M67" xr:uid="{00000000-0002-0000-0500-000000000000}">
      <formula1>$C$58:$C$62</formula1>
    </dataValidation>
  </dataValidations>
  <pageMargins left="0.25" right="0.25" top="0.75" bottom="0.75" header="0" footer="0"/>
  <pageSetup paperSize="9" orientation="portrait" r:id="rId1"/>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opLeftCell="A13" zoomScale="94" zoomScaleNormal="94" workbookViewId="0">
      <selection activeCell="I25" sqref="I25"/>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196" t="s">
        <v>134</v>
      </c>
      <c r="B1" s="197"/>
      <c r="C1" s="197"/>
      <c r="D1" s="197"/>
      <c r="E1" s="197"/>
      <c r="F1" s="197"/>
      <c r="G1" s="197"/>
      <c r="H1" s="197"/>
      <c r="I1" s="197"/>
      <c r="J1" s="197"/>
      <c r="K1" s="197"/>
      <c r="L1" s="197"/>
      <c r="M1" s="197"/>
      <c r="N1" s="197"/>
      <c r="O1" s="197"/>
      <c r="P1" s="197"/>
      <c r="Q1" s="197"/>
      <c r="R1" s="197"/>
      <c r="S1" s="197"/>
      <c r="T1" s="197"/>
      <c r="U1" s="197"/>
      <c r="V1" s="198"/>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1" t="s">
        <v>6</v>
      </c>
      <c r="B4" s="201"/>
      <c r="C4" s="202"/>
      <c r="D4" s="6"/>
      <c r="E4" s="7"/>
      <c r="F4" s="7"/>
      <c r="G4" s="7"/>
      <c r="H4" s="7"/>
      <c r="I4" s="7"/>
      <c r="J4" s="7"/>
      <c r="K4" s="7"/>
      <c r="L4" s="7"/>
      <c r="M4" s="7"/>
      <c r="N4" s="7"/>
      <c r="O4" s="7"/>
      <c r="P4" s="7"/>
      <c r="Q4" s="7"/>
      <c r="R4" s="7"/>
      <c r="S4" s="7"/>
      <c r="T4" s="7"/>
      <c r="U4" s="7"/>
      <c r="V4" s="7"/>
      <c r="W4" s="3"/>
      <c r="X4" s="3"/>
      <c r="Y4" s="3"/>
      <c r="Z4" s="3"/>
    </row>
    <row r="5" spans="1:26" ht="31.5" customHeight="1" x14ac:dyDescent="0.3">
      <c r="A5" s="203"/>
      <c r="B5" s="204"/>
      <c r="C5" s="205"/>
      <c r="D5" s="6"/>
      <c r="E5" s="317" t="str">
        <f>'1. Résumé'!E6</f>
        <v>FKT 09/12 Manometinay</v>
      </c>
      <c r="F5" s="197"/>
      <c r="G5" s="197"/>
      <c r="H5" s="197"/>
      <c r="I5" s="198"/>
      <c r="J5" s="7"/>
      <c r="K5" s="237" t="str">
        <f>'1. Résumé'!G8</f>
        <v>Pays : Madagascar</v>
      </c>
      <c r="L5" s="197"/>
      <c r="M5" s="197"/>
      <c r="N5" s="197"/>
      <c r="O5" s="198"/>
      <c r="P5" s="7"/>
      <c r="Q5" s="7"/>
      <c r="R5" s="237" t="str">
        <f>'1. Résumé'!E10</f>
        <v>Société nationale : Croix-Rouge Malagasy</v>
      </c>
      <c r="S5" s="197"/>
      <c r="T5" s="198"/>
      <c r="U5" s="7"/>
      <c r="V5" s="7"/>
      <c r="W5" s="3"/>
      <c r="X5" s="3"/>
      <c r="Y5" s="3"/>
      <c r="Z5" s="3"/>
    </row>
    <row r="6" spans="1:26" ht="9.75" customHeight="1" x14ac:dyDescent="0.3">
      <c r="A6" s="206"/>
      <c r="B6" s="207"/>
      <c r="C6" s="208"/>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1" t="s">
        <v>135</v>
      </c>
      <c r="B8" s="197"/>
      <c r="C8" s="197"/>
      <c r="D8" s="197"/>
      <c r="E8" s="197"/>
      <c r="F8" s="197"/>
      <c r="G8" s="197"/>
      <c r="H8" s="197"/>
      <c r="I8" s="197"/>
      <c r="J8" s="197"/>
      <c r="K8" s="197"/>
      <c r="L8" s="197"/>
      <c r="M8" s="197"/>
      <c r="N8" s="197"/>
      <c r="O8" s="197"/>
      <c r="P8" s="197"/>
      <c r="Q8" s="197"/>
      <c r="R8" s="197"/>
      <c r="S8" s="197"/>
      <c r="T8" s="197"/>
      <c r="U8" s="197"/>
      <c r="V8" s="198"/>
      <c r="W8" s="3"/>
      <c r="X8" s="3"/>
      <c r="Y8" s="3"/>
      <c r="Z8" s="3" t="s">
        <v>13</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22" t="s">
        <v>136</v>
      </c>
      <c r="D10" s="197"/>
      <c r="E10" s="197"/>
      <c r="F10" s="197"/>
      <c r="G10" s="197"/>
      <c r="H10" s="197"/>
      <c r="I10" s="197"/>
      <c r="J10" s="197"/>
      <c r="K10" s="197"/>
      <c r="L10" s="197"/>
      <c r="M10" s="197"/>
      <c r="N10" s="197"/>
      <c r="O10" s="197"/>
      <c r="P10" s="197"/>
      <c r="Q10" s="197"/>
      <c r="R10" s="197"/>
      <c r="S10" s="197"/>
      <c r="T10" s="198"/>
      <c r="U10" s="3"/>
      <c r="V10" s="4"/>
      <c r="W10" s="3"/>
      <c r="X10" s="3"/>
      <c r="Y10" s="3"/>
      <c r="Z10" s="3"/>
    </row>
    <row r="11" spans="1:26" ht="9.75" customHeight="1" x14ac:dyDescent="0.3">
      <c r="A11" s="4"/>
      <c r="B11" s="3"/>
      <c r="C11" s="3" t="s">
        <v>13</v>
      </c>
      <c r="D11" s="3"/>
      <c r="E11" s="3"/>
      <c r="F11" s="3"/>
      <c r="G11" s="3"/>
      <c r="H11" s="3" t="s">
        <v>13</v>
      </c>
      <c r="I11" s="3"/>
      <c r="J11" s="3"/>
      <c r="K11" s="3"/>
      <c r="L11" s="3"/>
      <c r="M11" s="3"/>
      <c r="N11" s="3"/>
      <c r="O11" s="3"/>
      <c r="P11" s="3"/>
      <c r="Q11" s="3"/>
      <c r="R11" s="3"/>
      <c r="S11" s="3"/>
      <c r="T11" s="3"/>
      <c r="U11" s="3"/>
      <c r="V11" s="4"/>
      <c r="W11" s="3"/>
      <c r="X11" s="3"/>
      <c r="Y11" s="3"/>
      <c r="Z11" s="3"/>
    </row>
    <row r="12" spans="1:26" ht="72.75" customHeight="1" x14ac:dyDescent="0.3">
      <c r="A12" s="4"/>
      <c r="B12" s="3"/>
      <c r="C12" s="359" t="s">
        <v>200</v>
      </c>
      <c r="D12" s="360"/>
      <c r="E12" s="360"/>
      <c r="F12" s="360"/>
      <c r="G12" s="360"/>
      <c r="H12" s="360"/>
      <c r="I12" s="360"/>
      <c r="J12" s="360"/>
      <c r="K12" s="360"/>
      <c r="L12" s="360"/>
      <c r="M12" s="360"/>
      <c r="N12" s="360"/>
      <c r="O12" s="360"/>
      <c r="P12" s="360"/>
      <c r="Q12" s="360"/>
      <c r="R12" s="360"/>
      <c r="S12" s="360"/>
      <c r="T12" s="243"/>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61" t="s">
        <v>137</v>
      </c>
      <c r="D14" s="197"/>
      <c r="E14" s="197"/>
      <c r="F14" s="197"/>
      <c r="G14" s="197"/>
      <c r="H14" s="197"/>
      <c r="I14" s="197"/>
      <c r="J14" s="197"/>
      <c r="K14" s="197"/>
      <c r="L14" s="197"/>
      <c r="M14" s="197"/>
      <c r="N14" s="197"/>
      <c r="O14" s="197"/>
      <c r="P14" s="197"/>
      <c r="Q14" s="197"/>
      <c r="R14" s="197"/>
      <c r="S14" s="197"/>
      <c r="T14" s="198"/>
      <c r="U14" s="3"/>
      <c r="V14" s="4"/>
      <c r="W14" s="3"/>
      <c r="X14" s="3"/>
      <c r="Y14" s="3"/>
      <c r="Z14" s="3"/>
    </row>
    <row r="15" spans="1:26" ht="12" customHeight="1" x14ac:dyDescent="0.3">
      <c r="A15" s="4"/>
      <c r="B15" s="3"/>
      <c r="C15" s="222" t="s">
        <v>138</v>
      </c>
      <c r="D15" s="197"/>
      <c r="E15" s="197"/>
      <c r="F15" s="197"/>
      <c r="G15" s="197"/>
      <c r="H15" s="197"/>
      <c r="I15" s="197"/>
      <c r="J15" s="197"/>
      <c r="K15" s="197"/>
      <c r="L15" s="197"/>
      <c r="M15" s="197"/>
      <c r="N15" s="197"/>
      <c r="O15" s="197"/>
      <c r="P15" s="197"/>
      <c r="Q15" s="197"/>
      <c r="R15" s="197"/>
      <c r="S15" s="197"/>
      <c r="T15" s="198"/>
      <c r="U15" s="3"/>
      <c r="V15" s="4"/>
      <c r="W15" s="3"/>
      <c r="X15" s="3"/>
      <c r="Y15" s="3"/>
      <c r="Z15" s="3"/>
    </row>
    <row r="16" spans="1:26" ht="48" customHeight="1" thickBot="1" x14ac:dyDescent="0.35">
      <c r="A16" s="4"/>
      <c r="B16" s="3"/>
      <c r="C16" s="330" t="s">
        <v>139</v>
      </c>
      <c r="D16" s="217"/>
      <c r="E16" s="218"/>
      <c r="F16" s="39"/>
      <c r="G16" s="268" t="s">
        <v>305</v>
      </c>
      <c r="H16" s="242"/>
      <c r="I16" s="242"/>
      <c r="J16" s="242"/>
      <c r="K16" s="242"/>
      <c r="L16" s="242"/>
      <c r="M16" s="242"/>
      <c r="N16" s="242"/>
      <c r="O16" s="242"/>
      <c r="P16" s="242"/>
      <c r="Q16" s="242"/>
      <c r="R16" s="362"/>
      <c r="S16" s="105" t="s">
        <v>140</v>
      </c>
      <c r="T16" s="94">
        <f t="shared" ref="T16:T18" si="0">IF(S16="---","",VLOOKUP(S16,$C$22:$D$25,2,FALSE))</f>
        <v>1</v>
      </c>
      <c r="U16" s="3"/>
      <c r="V16" s="4"/>
      <c r="W16" s="3"/>
      <c r="X16" s="3"/>
      <c r="Y16" s="3"/>
      <c r="Z16" s="3"/>
    </row>
    <row r="17" spans="1:26" ht="48" customHeight="1" thickBot="1" x14ac:dyDescent="0.35">
      <c r="A17" s="4"/>
      <c r="B17" s="3"/>
      <c r="C17" s="106" t="s">
        <v>141</v>
      </c>
      <c r="D17" s="107"/>
      <c r="E17" s="108"/>
      <c r="F17" s="39"/>
      <c r="G17" s="268" t="s">
        <v>304</v>
      </c>
      <c r="H17" s="242"/>
      <c r="I17" s="242"/>
      <c r="J17" s="242"/>
      <c r="K17" s="242"/>
      <c r="L17" s="242"/>
      <c r="M17" s="242"/>
      <c r="N17" s="242"/>
      <c r="O17" s="242"/>
      <c r="P17" s="242"/>
      <c r="Q17" s="242"/>
      <c r="R17" s="362"/>
      <c r="S17" s="109" t="s">
        <v>144</v>
      </c>
      <c r="T17" s="94">
        <f t="shared" si="0"/>
        <v>0.33</v>
      </c>
      <c r="U17" s="3"/>
      <c r="V17" s="4"/>
      <c r="W17" s="3"/>
      <c r="X17" s="3"/>
      <c r="Y17" s="3"/>
      <c r="Z17" s="3"/>
    </row>
    <row r="18" spans="1:26" ht="45" customHeight="1" thickBot="1" x14ac:dyDescent="0.35">
      <c r="A18" s="4"/>
      <c r="B18" s="3"/>
      <c r="C18" s="330" t="s">
        <v>143</v>
      </c>
      <c r="D18" s="217"/>
      <c r="E18" s="218"/>
      <c r="F18" s="39"/>
      <c r="G18" s="357" t="s">
        <v>335</v>
      </c>
      <c r="H18" s="263"/>
      <c r="I18" s="263"/>
      <c r="J18" s="263"/>
      <c r="K18" s="263"/>
      <c r="L18" s="263"/>
      <c r="M18" s="263"/>
      <c r="N18" s="263"/>
      <c r="O18" s="263"/>
      <c r="P18" s="263"/>
      <c r="Q18" s="263"/>
      <c r="R18" s="358"/>
      <c r="S18" s="105" t="s">
        <v>144</v>
      </c>
      <c r="T18" s="94">
        <f t="shared" si="0"/>
        <v>0.33</v>
      </c>
      <c r="U18" s="3"/>
      <c r="V18" s="4"/>
      <c r="W18" s="3"/>
      <c r="X18" s="3"/>
      <c r="Y18" s="3"/>
      <c r="Z18" s="3"/>
    </row>
    <row r="19" spans="1:26" ht="17.25" customHeight="1" x14ac:dyDescent="0.3">
      <c r="A19" s="4"/>
      <c r="B19" s="3"/>
      <c r="C19" s="110"/>
      <c r="D19" s="110"/>
      <c r="E19" s="110"/>
      <c r="F19" s="3"/>
      <c r="G19" s="111"/>
      <c r="H19" s="111"/>
      <c r="I19" s="111"/>
      <c r="J19" s="111"/>
      <c r="K19" s="111"/>
      <c r="L19" s="111"/>
      <c r="M19" s="111"/>
      <c r="N19" s="111"/>
      <c r="O19" s="111"/>
      <c r="P19" s="111"/>
      <c r="Q19" s="111"/>
      <c r="R19" s="111"/>
      <c r="S19" s="3"/>
      <c r="T19" s="3"/>
      <c r="U19" s="3"/>
      <c r="V19" s="4"/>
      <c r="W19" s="3"/>
      <c r="X19" s="3"/>
      <c r="Y19" s="3"/>
      <c r="Z19" s="3"/>
    </row>
    <row r="20" spans="1:26" ht="10.5" customHeight="1" x14ac:dyDescent="0.3">
      <c r="A20" s="4"/>
      <c r="B20" s="3"/>
      <c r="C20" s="110"/>
      <c r="D20" s="110"/>
      <c r="E20" s="110"/>
      <c r="F20" s="3"/>
      <c r="G20" s="111"/>
      <c r="H20" s="111"/>
      <c r="I20" s="111"/>
      <c r="J20" s="111"/>
      <c r="K20" s="111"/>
      <c r="L20" s="3"/>
      <c r="M20" s="111"/>
      <c r="N20" s="111"/>
      <c r="O20" s="111"/>
      <c r="P20" s="111"/>
      <c r="Q20" s="111"/>
      <c r="R20" s="111"/>
      <c r="S20" s="3"/>
      <c r="T20" s="3"/>
      <c r="U20" s="3"/>
      <c r="V20" s="4"/>
      <c r="W20" s="3"/>
      <c r="X20" s="3"/>
      <c r="Y20" s="3"/>
      <c r="Z20" s="3"/>
    </row>
    <row r="21" spans="1:26" ht="18" customHeight="1" x14ac:dyDescent="0.3">
      <c r="A21" s="4"/>
      <c r="B21" s="271"/>
      <c r="C21" s="197"/>
      <c r="D21" s="197"/>
      <c r="E21" s="197"/>
      <c r="F21" s="197"/>
      <c r="G21" s="197"/>
      <c r="H21" s="197"/>
      <c r="I21" s="197"/>
      <c r="J21" s="197"/>
      <c r="K21" s="197"/>
      <c r="L21" s="197"/>
      <c r="M21" s="197"/>
      <c r="N21" s="197"/>
      <c r="O21" s="197"/>
      <c r="P21" s="197"/>
      <c r="Q21" s="197"/>
      <c r="R21" s="197"/>
      <c r="S21" s="197"/>
      <c r="T21" s="197"/>
      <c r="U21" s="198"/>
      <c r="V21" s="4"/>
      <c r="W21" s="3"/>
      <c r="X21" s="3"/>
      <c r="Y21" s="3"/>
      <c r="Z21" s="3"/>
    </row>
    <row r="22" spans="1:26" ht="12" customHeight="1" x14ac:dyDescent="0.3">
      <c r="A22" s="3"/>
      <c r="B22" s="3"/>
      <c r="C22" s="3" t="s">
        <v>140</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142</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144</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2"/>
      <c r="D26" s="112"/>
      <c r="E26" s="112"/>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2"/>
      <c r="D27" s="112"/>
      <c r="E27" s="112"/>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 ref="G17:R17"/>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topLeftCell="A43" zoomScale="89" zoomScaleNormal="89" workbookViewId="0">
      <selection activeCell="AD52" sqref="AD52"/>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77" customWidth="1"/>
    <col min="9" max="9" width="1.69921875" customWidth="1"/>
    <col min="10" max="10" width="14.69921875" style="177"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196" t="s">
        <v>145</v>
      </c>
      <c r="B1" s="197"/>
      <c r="C1" s="197"/>
      <c r="D1" s="197"/>
      <c r="E1" s="197"/>
      <c r="F1" s="197"/>
      <c r="G1" s="197"/>
      <c r="H1" s="197"/>
      <c r="I1" s="197"/>
      <c r="J1" s="197"/>
      <c r="K1" s="197"/>
      <c r="L1" s="197"/>
      <c r="M1" s="197"/>
      <c r="N1" s="197"/>
      <c r="O1" s="197"/>
      <c r="P1" s="197"/>
      <c r="Q1" s="198"/>
      <c r="R1" s="1"/>
      <c r="S1" s="1"/>
      <c r="T1" s="1"/>
      <c r="U1" s="1"/>
      <c r="V1" s="1"/>
      <c r="W1" s="1"/>
      <c r="X1" s="1"/>
      <c r="Y1" s="1"/>
      <c r="Z1" s="1"/>
      <c r="AA1" s="1"/>
      <c r="AB1" s="1"/>
      <c r="AC1" s="1"/>
      <c r="AD1" s="1"/>
      <c r="AE1" s="1"/>
      <c r="AF1" s="1"/>
    </row>
    <row r="2" spans="1:32" ht="9.75" customHeight="1" x14ac:dyDescent="0.4">
      <c r="A2" s="2"/>
      <c r="B2" s="2"/>
      <c r="C2" s="2"/>
      <c r="D2" s="2"/>
      <c r="E2" s="2"/>
      <c r="F2" s="2"/>
      <c r="G2" s="2"/>
      <c r="H2" s="170"/>
      <c r="I2" s="2"/>
      <c r="J2" s="170"/>
      <c r="K2" s="2"/>
      <c r="L2" s="2"/>
      <c r="M2" s="2"/>
      <c r="N2" s="2"/>
      <c r="O2" s="2"/>
      <c r="P2" s="2"/>
      <c r="Q2" s="2"/>
      <c r="R2" s="1"/>
      <c r="S2" s="374"/>
      <c r="T2" s="204"/>
      <c r="U2" s="204"/>
      <c r="V2" s="204"/>
      <c r="W2" s="204"/>
      <c r="X2" s="204"/>
      <c r="Y2" s="204"/>
      <c r="Z2" s="204"/>
      <c r="AA2" s="204"/>
      <c r="AB2" s="204"/>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21" t="s">
        <v>6</v>
      </c>
      <c r="B4" s="201"/>
      <c r="C4" s="202"/>
      <c r="D4" s="6"/>
      <c r="E4" s="7"/>
      <c r="F4" s="7"/>
      <c r="G4" s="7"/>
      <c r="H4" s="171"/>
      <c r="I4" s="7"/>
      <c r="J4" s="171"/>
      <c r="K4" s="7"/>
      <c r="L4" s="7"/>
      <c r="M4" s="7"/>
      <c r="N4" s="7"/>
      <c r="O4" s="7"/>
      <c r="P4" s="7"/>
      <c r="Q4" s="7"/>
      <c r="R4" s="3"/>
      <c r="S4" s="375"/>
      <c r="T4" s="204"/>
      <c r="U4" s="204"/>
      <c r="V4" s="28"/>
      <c r="W4" s="376"/>
      <c r="X4" s="204"/>
      <c r="Y4" s="204"/>
      <c r="Z4" s="204"/>
      <c r="AA4" s="204"/>
      <c r="AB4" s="204"/>
      <c r="AC4" s="3"/>
      <c r="AD4" s="3"/>
      <c r="AE4" s="3"/>
      <c r="AF4" s="3"/>
    </row>
    <row r="5" spans="1:32" ht="31.5" customHeight="1" x14ac:dyDescent="0.3">
      <c r="A5" s="203"/>
      <c r="B5" s="204"/>
      <c r="C5" s="205"/>
      <c r="D5" s="6"/>
      <c r="E5" s="377" t="str">
        <f>'1. Résumé'!E6</f>
        <v>FKT 09/12 Manometinay</v>
      </c>
      <c r="F5" s="197"/>
      <c r="G5" s="197"/>
      <c r="H5" s="198"/>
      <c r="I5" s="113"/>
      <c r="J5" s="237"/>
      <c r="K5" s="197"/>
      <c r="L5" s="197"/>
      <c r="M5" s="197"/>
      <c r="N5" s="197"/>
      <c r="O5" s="198"/>
      <c r="P5" s="7"/>
      <c r="Q5" s="7"/>
      <c r="R5" s="3"/>
      <c r="S5" s="369"/>
      <c r="T5" s="204"/>
      <c r="U5" s="204"/>
      <c r="V5" s="114"/>
      <c r="W5" s="204"/>
      <c r="X5" s="204"/>
      <c r="Y5" s="204"/>
      <c r="Z5" s="204"/>
      <c r="AA5" s="204"/>
      <c r="AB5" s="204"/>
      <c r="AC5" s="3"/>
      <c r="AD5" s="3"/>
      <c r="AE5" s="3"/>
      <c r="AF5" s="3"/>
    </row>
    <row r="6" spans="1:32" ht="9.75" customHeight="1" x14ac:dyDescent="0.3">
      <c r="A6" s="206"/>
      <c r="B6" s="207"/>
      <c r="C6" s="208"/>
      <c r="D6" s="6"/>
      <c r="E6" s="10"/>
      <c r="F6" s="7"/>
      <c r="G6" s="7"/>
      <c r="H6" s="171"/>
      <c r="I6" s="7"/>
      <c r="J6" s="171"/>
      <c r="K6" s="7"/>
      <c r="L6" s="7"/>
      <c r="M6" s="7"/>
      <c r="N6" s="7"/>
      <c r="O6" s="7"/>
      <c r="P6" s="7"/>
      <c r="Q6" s="7"/>
      <c r="R6" s="3"/>
      <c r="S6" s="204"/>
      <c r="T6" s="204"/>
      <c r="U6" s="204"/>
      <c r="V6" s="114"/>
      <c r="W6" s="370"/>
      <c r="X6" s="204"/>
      <c r="Y6" s="371"/>
      <c r="Z6" s="204"/>
      <c r="AA6" s="204"/>
      <c r="AB6" s="204"/>
      <c r="AC6" s="3"/>
      <c r="AD6" s="3"/>
      <c r="AE6" s="3"/>
      <c r="AF6" s="3"/>
    </row>
    <row r="7" spans="1:32" ht="19.5" customHeight="1" x14ac:dyDescent="0.3">
      <c r="A7" s="3"/>
      <c r="B7" s="3"/>
      <c r="C7" s="3"/>
      <c r="D7" s="3"/>
      <c r="E7" s="3"/>
      <c r="F7" s="3"/>
      <c r="G7" s="3" t="s">
        <v>13</v>
      </c>
      <c r="H7" s="81"/>
      <c r="I7" s="3"/>
      <c r="J7" s="81"/>
      <c r="K7" s="3"/>
      <c r="L7" s="3"/>
      <c r="M7" s="3"/>
      <c r="N7" s="3"/>
      <c r="O7" s="3"/>
      <c r="P7" s="3"/>
      <c r="Q7" s="3"/>
      <c r="R7" s="3"/>
      <c r="S7" s="204"/>
      <c r="T7" s="204"/>
      <c r="U7" s="204"/>
      <c r="V7" s="114"/>
      <c r="W7" s="204"/>
      <c r="X7" s="204"/>
      <c r="Y7" s="81"/>
      <c r="Z7" s="81"/>
      <c r="AA7" s="81"/>
      <c r="AB7" s="81"/>
      <c r="AC7" s="3"/>
      <c r="AD7" s="3"/>
      <c r="AE7" s="3"/>
      <c r="AF7" s="3"/>
    </row>
    <row r="8" spans="1:32" ht="39.75" customHeight="1" x14ac:dyDescent="0.3">
      <c r="A8" s="271" t="s">
        <v>146</v>
      </c>
      <c r="B8" s="197"/>
      <c r="C8" s="197"/>
      <c r="D8" s="197"/>
      <c r="E8" s="197"/>
      <c r="F8" s="197"/>
      <c r="G8" s="197"/>
      <c r="H8" s="197"/>
      <c r="I8" s="197"/>
      <c r="J8" s="197"/>
      <c r="K8" s="197"/>
      <c r="L8" s="197"/>
      <c r="M8" s="197"/>
      <c r="N8" s="197"/>
      <c r="O8" s="197"/>
      <c r="P8" s="197"/>
      <c r="Q8" s="198"/>
      <c r="R8" s="3"/>
      <c r="S8" s="116"/>
      <c r="T8" s="116"/>
      <c r="U8" s="116"/>
      <c r="V8" s="116"/>
      <c r="W8" s="204"/>
      <c r="X8" s="204"/>
      <c r="Y8" s="102"/>
      <c r="Z8" s="102"/>
      <c r="AA8" s="102"/>
      <c r="AB8" s="102"/>
      <c r="AC8" s="3"/>
      <c r="AD8" s="3"/>
      <c r="AE8" s="3"/>
      <c r="AF8" s="3"/>
    </row>
    <row r="9" spans="1:32" ht="9.75" customHeight="1" x14ac:dyDescent="0.3">
      <c r="A9" s="68"/>
      <c r="B9" s="69"/>
      <c r="C9" s="69"/>
      <c r="D9" s="69"/>
      <c r="E9" s="69"/>
      <c r="F9" s="69"/>
      <c r="G9" s="69"/>
      <c r="H9" s="172"/>
      <c r="I9" s="69"/>
      <c r="J9" s="172"/>
      <c r="K9" s="69"/>
      <c r="L9" s="69"/>
      <c r="M9" s="69"/>
      <c r="N9" s="69"/>
      <c r="O9" s="69"/>
      <c r="P9" s="69"/>
      <c r="Q9" s="68"/>
      <c r="R9" s="3"/>
      <c r="S9" s="102"/>
      <c r="T9" s="371"/>
      <c r="U9" s="372"/>
      <c r="V9" s="117"/>
      <c r="W9" s="373"/>
      <c r="X9" s="102"/>
      <c r="Y9" s="102"/>
      <c r="Z9" s="102"/>
      <c r="AA9" s="102"/>
      <c r="AB9" s="102"/>
      <c r="AC9" s="3"/>
      <c r="AD9" s="3"/>
      <c r="AE9" s="3"/>
      <c r="AF9" s="3"/>
    </row>
    <row r="10" spans="1:32" ht="36" customHeight="1" x14ac:dyDescent="0.3">
      <c r="A10" s="68"/>
      <c r="B10" s="69"/>
      <c r="C10" s="318" t="s">
        <v>147</v>
      </c>
      <c r="D10" s="197"/>
      <c r="E10" s="197"/>
      <c r="F10" s="197"/>
      <c r="G10" s="197"/>
      <c r="H10" s="197"/>
      <c r="I10" s="197"/>
      <c r="J10" s="197"/>
      <c r="K10" s="197"/>
      <c r="L10" s="197"/>
      <c r="M10" s="197"/>
      <c r="N10" s="197"/>
      <c r="O10" s="198"/>
      <c r="P10" s="69"/>
      <c r="Q10" s="68"/>
      <c r="R10" s="3"/>
      <c r="S10" s="102"/>
      <c r="T10" s="204"/>
      <c r="U10" s="204"/>
      <c r="V10" s="117"/>
      <c r="W10" s="204"/>
      <c r="X10" s="102"/>
      <c r="Y10" s="102"/>
      <c r="Z10" s="102"/>
      <c r="AA10" s="102"/>
      <c r="AB10" s="102"/>
      <c r="AC10" s="3"/>
      <c r="AD10" s="3"/>
      <c r="AE10" s="3"/>
      <c r="AF10" s="3"/>
    </row>
    <row r="11" spans="1:32" ht="9.75" customHeight="1" x14ac:dyDescent="0.3">
      <c r="A11" s="68"/>
      <c r="B11" s="69"/>
      <c r="C11" s="69"/>
      <c r="D11" s="69"/>
      <c r="E11" s="69"/>
      <c r="F11" s="69"/>
      <c r="G11" s="69"/>
      <c r="H11" s="172"/>
      <c r="I11" s="69"/>
      <c r="J11" s="172"/>
      <c r="K11" s="69"/>
      <c r="L11" s="69"/>
      <c r="M11" s="69"/>
      <c r="N11" s="69"/>
      <c r="O11" s="69"/>
      <c r="P11" s="69"/>
      <c r="Q11" s="68"/>
      <c r="R11" s="3"/>
      <c r="S11" s="102"/>
      <c r="T11" s="115"/>
      <c r="U11" s="118"/>
      <c r="V11" s="119"/>
      <c r="W11" s="204"/>
      <c r="X11" s="102"/>
      <c r="Y11" s="102"/>
      <c r="Z11" s="102"/>
      <c r="AA11" s="102"/>
      <c r="AB11" s="102"/>
      <c r="AC11" s="3"/>
      <c r="AD11" s="3"/>
      <c r="AE11" s="3"/>
      <c r="AF11" s="3"/>
    </row>
    <row r="12" spans="1:32" ht="31.5" customHeight="1" x14ac:dyDescent="0.3">
      <c r="A12" s="4"/>
      <c r="B12" s="3"/>
      <c r="C12" s="23" t="str">
        <f>'3. Dangers'!C16</f>
        <v>Sècheresse</v>
      </c>
      <c r="D12" s="23"/>
      <c r="E12" s="319"/>
      <c r="F12" s="197"/>
      <c r="G12" s="197"/>
      <c r="H12" s="198"/>
      <c r="I12" s="90"/>
      <c r="J12" s="178"/>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320"/>
      <c r="D13" s="217"/>
      <c r="E13" s="217"/>
      <c r="F13" s="217"/>
      <c r="G13" s="217"/>
      <c r="H13" s="217"/>
      <c r="I13" s="217"/>
      <c r="J13" s="217"/>
      <c r="K13" s="217"/>
      <c r="L13" s="217"/>
      <c r="M13" s="217"/>
      <c r="N13" s="217"/>
      <c r="O13" s="218"/>
      <c r="P13" s="3"/>
      <c r="Q13" s="4"/>
      <c r="R13" s="3"/>
      <c r="S13" s="120"/>
      <c r="T13" s="120"/>
      <c r="U13" s="120" t="s">
        <v>148</v>
      </c>
      <c r="V13" s="120"/>
      <c r="W13" s="120"/>
      <c r="X13" s="120"/>
      <c r="Y13" s="3"/>
      <c r="Z13" s="3"/>
      <c r="AA13" s="3"/>
      <c r="AB13" s="3"/>
      <c r="AC13" s="3"/>
      <c r="AD13" s="3"/>
      <c r="AE13" s="3"/>
      <c r="AF13" s="3"/>
    </row>
    <row r="14" spans="1:32" ht="31.5" customHeight="1" x14ac:dyDescent="0.3">
      <c r="A14" s="4"/>
      <c r="B14" s="3"/>
      <c r="C14" s="326" t="s">
        <v>17</v>
      </c>
      <c r="D14" s="217"/>
      <c r="E14" s="218"/>
      <c r="F14" s="39"/>
      <c r="G14" s="121"/>
      <c r="H14" s="173" t="s">
        <v>149</v>
      </c>
      <c r="I14" s="29"/>
      <c r="J14" s="173" t="s">
        <v>150</v>
      </c>
      <c r="K14" s="121"/>
      <c r="L14" s="121"/>
      <c r="M14" s="365" t="s">
        <v>151</v>
      </c>
      <c r="N14" s="217"/>
      <c r="O14" s="218"/>
      <c r="P14" s="3"/>
      <c r="Q14" s="4"/>
      <c r="R14" s="3"/>
      <c r="S14" s="120"/>
      <c r="T14" s="120"/>
      <c r="U14" s="120" t="s">
        <v>152</v>
      </c>
      <c r="V14" s="120" t="s">
        <v>153</v>
      </c>
      <c r="W14" s="120" t="s">
        <v>154</v>
      </c>
      <c r="X14" s="120" t="s">
        <v>155</v>
      </c>
      <c r="Y14" s="3"/>
      <c r="Z14" s="3"/>
      <c r="AA14" s="3"/>
      <c r="AB14" s="3"/>
      <c r="AC14" s="3"/>
      <c r="AD14" s="3"/>
      <c r="AE14" s="3"/>
      <c r="AF14" s="3"/>
    </row>
    <row r="15" spans="1:32" ht="19.5" customHeight="1" x14ac:dyDescent="0.3">
      <c r="A15" s="4"/>
      <c r="B15" s="3"/>
      <c r="C15" s="329" t="s">
        <v>19</v>
      </c>
      <c r="D15" s="217"/>
      <c r="E15" s="218"/>
      <c r="F15" s="39"/>
      <c r="G15" s="122"/>
      <c r="H15" s="174" t="e">
        <f>'4. Vulnérabilité'!V29</f>
        <v>#N/A</v>
      </c>
      <c r="I15" s="29"/>
      <c r="J15" s="174" t="e">
        <f>'5. Capacité'!P19</f>
        <v>#N/A</v>
      </c>
      <c r="K15" s="123"/>
      <c r="L15" s="123"/>
      <c r="M15" s="364" t="e">
        <f>IF(AND(H15&lt;&gt;"",J15&lt;&gt;""),IF((H15-J15)&lt;-0.32,"LOW",IF((H15-J15)&lt;0.33,"MODERATE","HIGH")),"")</f>
        <v>#N/A</v>
      </c>
      <c r="N15" s="217"/>
      <c r="O15" s="218"/>
      <c r="P15" s="3"/>
      <c r="Q15" s="4"/>
      <c r="R15" s="3"/>
      <c r="S15" s="120" t="s">
        <v>156</v>
      </c>
      <c r="T15" s="120"/>
      <c r="U15" s="120">
        <v>0</v>
      </c>
      <c r="V15" s="120">
        <v>0.33</v>
      </c>
      <c r="W15" s="120">
        <v>0.67</v>
      </c>
      <c r="X15" s="120">
        <v>1</v>
      </c>
      <c r="Y15" s="3"/>
      <c r="Z15" s="3"/>
      <c r="AA15" s="3"/>
      <c r="AB15" s="3"/>
      <c r="AC15" s="3"/>
      <c r="AD15" s="3"/>
      <c r="AE15" s="3"/>
      <c r="AF15" s="3"/>
    </row>
    <row r="16" spans="1:32" ht="19.5" customHeight="1" x14ac:dyDescent="0.3">
      <c r="A16" s="4"/>
      <c r="B16" s="3"/>
      <c r="C16" s="330" t="s">
        <v>20</v>
      </c>
      <c r="D16" s="217"/>
      <c r="E16" s="218"/>
      <c r="F16" s="39"/>
      <c r="G16" s="122"/>
      <c r="H16" s="175" t="e">
        <f>'4. Vulnérabilité'!V30</f>
        <v>#N/A</v>
      </c>
      <c r="I16" s="29"/>
      <c r="J16" s="174" t="e">
        <f>'5. Capacité'!P20</f>
        <v>#N/A</v>
      </c>
      <c r="K16" s="123"/>
      <c r="L16" s="123"/>
      <c r="M16" s="363" t="e">
        <f t="shared" ref="M16:M22" si="0">IF(AND(H16&lt;&gt;"",J16&lt;&gt;""),IF((H16-J16)&lt;-0.33,"LOW",IF((H16-J16)&lt;0.32,"MODERATE","HIGH")),"")</f>
        <v>#N/A</v>
      </c>
      <c r="N16" s="217"/>
      <c r="O16" s="218"/>
      <c r="P16" s="3"/>
      <c r="Q16" s="4"/>
      <c r="R16" s="3"/>
      <c r="S16" s="120" t="s">
        <v>155</v>
      </c>
      <c r="T16" s="120">
        <v>1</v>
      </c>
      <c r="U16" s="120" t="s">
        <v>157</v>
      </c>
      <c r="V16" s="120" t="s">
        <v>157</v>
      </c>
      <c r="W16" s="120" t="s">
        <v>157</v>
      </c>
      <c r="X16" s="120" t="s">
        <v>158</v>
      </c>
      <c r="Y16" s="3"/>
      <c r="Z16" s="3"/>
      <c r="AA16" s="3"/>
      <c r="AB16" s="3"/>
      <c r="AC16" s="3"/>
      <c r="AD16" s="3"/>
      <c r="AE16" s="3"/>
      <c r="AF16" s="3"/>
    </row>
    <row r="17" spans="1:32" ht="19.5" customHeight="1" x14ac:dyDescent="0.3">
      <c r="A17" s="4"/>
      <c r="B17" s="3"/>
      <c r="C17" s="329" t="s">
        <v>21</v>
      </c>
      <c r="D17" s="217"/>
      <c r="E17" s="218"/>
      <c r="F17" s="39"/>
      <c r="G17" s="122"/>
      <c r="H17" s="174" t="e">
        <f>'4. Vulnérabilité'!V31</f>
        <v>#N/A</v>
      </c>
      <c r="I17" s="29"/>
      <c r="J17" s="174" t="e">
        <f>'5. Capacité'!P21</f>
        <v>#N/A</v>
      </c>
      <c r="K17" s="123"/>
      <c r="L17" s="123"/>
      <c r="M17" s="364" t="e">
        <f t="shared" si="0"/>
        <v>#N/A</v>
      </c>
      <c r="N17" s="217"/>
      <c r="O17" s="218"/>
      <c r="P17" s="3"/>
      <c r="Q17" s="4"/>
      <c r="R17" s="3"/>
      <c r="S17" s="120"/>
      <c r="T17" s="120"/>
      <c r="U17" s="120"/>
      <c r="V17" s="120"/>
      <c r="W17" s="120"/>
      <c r="X17" s="120"/>
      <c r="Y17" s="3"/>
      <c r="Z17" s="3"/>
      <c r="AA17" s="3"/>
      <c r="AB17" s="3"/>
      <c r="AC17" s="3"/>
      <c r="AD17" s="3"/>
      <c r="AE17" s="3"/>
      <c r="AF17" s="3"/>
    </row>
    <row r="18" spans="1:32" ht="19.5" customHeight="1" x14ac:dyDescent="0.3">
      <c r="A18" s="4"/>
      <c r="B18" s="3"/>
      <c r="C18" s="330" t="s">
        <v>110</v>
      </c>
      <c r="D18" s="217"/>
      <c r="E18" s="218"/>
      <c r="F18" s="39"/>
      <c r="G18" s="122"/>
      <c r="H18" s="175" t="e">
        <f>'4. Vulnérabilité'!V32</f>
        <v>#N/A</v>
      </c>
      <c r="I18" s="29"/>
      <c r="J18" s="174" t="e">
        <f>'5. Capacité'!P22</f>
        <v>#N/A</v>
      </c>
      <c r="K18" s="123"/>
      <c r="L18" s="123"/>
      <c r="M18" s="363" t="e">
        <f t="shared" si="0"/>
        <v>#N/A</v>
      </c>
      <c r="N18" s="217"/>
      <c r="O18" s="218"/>
      <c r="P18" s="3"/>
      <c r="Q18" s="4"/>
      <c r="R18" s="3"/>
      <c r="S18" s="120"/>
      <c r="T18" s="120"/>
      <c r="U18" s="120"/>
      <c r="V18" s="120"/>
      <c r="W18" s="120"/>
      <c r="X18" s="120"/>
      <c r="Y18" s="3"/>
      <c r="Z18" s="3"/>
      <c r="AA18" s="3"/>
      <c r="AB18" s="3"/>
      <c r="AC18" s="3"/>
      <c r="AD18" s="3"/>
      <c r="AE18" s="3"/>
      <c r="AF18" s="3"/>
    </row>
    <row r="19" spans="1:32" ht="19.5" customHeight="1" x14ac:dyDescent="0.3">
      <c r="A19" s="4"/>
      <c r="B19" s="3"/>
      <c r="C19" s="329" t="s">
        <v>23</v>
      </c>
      <c r="D19" s="217"/>
      <c r="E19" s="218"/>
      <c r="F19" s="39"/>
      <c r="G19" s="122"/>
      <c r="H19" s="174" t="e">
        <f>'4. Vulnérabilité'!V33</f>
        <v>#N/A</v>
      </c>
      <c r="I19" s="29"/>
      <c r="J19" s="174" t="e">
        <f>'5. Capacité'!P23</f>
        <v>#N/A</v>
      </c>
      <c r="K19" s="123"/>
      <c r="L19" s="123"/>
      <c r="M19" s="364" t="e">
        <f t="shared" si="0"/>
        <v>#N/A</v>
      </c>
      <c r="N19" s="217"/>
      <c r="O19" s="218"/>
      <c r="P19" s="3"/>
      <c r="Q19" s="4"/>
      <c r="R19" s="3"/>
      <c r="S19" s="120"/>
      <c r="T19" s="120"/>
      <c r="U19" s="120"/>
      <c r="V19" s="120"/>
      <c r="W19" s="120"/>
      <c r="X19" s="120"/>
      <c r="Y19" s="3"/>
      <c r="Z19" s="3"/>
      <c r="AA19" s="3"/>
      <c r="AB19" s="3"/>
      <c r="AC19" s="3"/>
      <c r="AD19" s="3"/>
      <c r="AE19" s="3"/>
      <c r="AF19" s="3"/>
    </row>
    <row r="20" spans="1:32" ht="19.5" customHeight="1" x14ac:dyDescent="0.3">
      <c r="A20" s="4"/>
      <c r="B20" s="3"/>
      <c r="C20" s="330" t="s">
        <v>112</v>
      </c>
      <c r="D20" s="217"/>
      <c r="E20" s="218"/>
      <c r="F20" s="39"/>
      <c r="G20" s="122"/>
      <c r="H20" s="175" t="e">
        <f>'4. Vulnérabilité'!V34</f>
        <v>#N/A</v>
      </c>
      <c r="I20" s="29"/>
      <c r="J20" s="174" t="e">
        <f>'5. Capacité'!P24</f>
        <v>#N/A</v>
      </c>
      <c r="K20" s="123"/>
      <c r="L20" s="123"/>
      <c r="M20" s="363" t="e">
        <f t="shared" si="0"/>
        <v>#N/A</v>
      </c>
      <c r="N20" s="217"/>
      <c r="O20" s="218"/>
      <c r="P20" s="3"/>
      <c r="Q20" s="4"/>
      <c r="R20" s="3"/>
      <c r="S20" s="120" t="s">
        <v>154</v>
      </c>
      <c r="T20" s="120">
        <v>0.67</v>
      </c>
      <c r="U20" s="120" t="s">
        <v>157</v>
      </c>
      <c r="V20" s="120" t="s">
        <v>157</v>
      </c>
      <c r="W20" s="120" t="s">
        <v>158</v>
      </c>
      <c r="X20" s="120" t="s">
        <v>159</v>
      </c>
      <c r="Y20" s="3"/>
      <c r="Z20" s="3"/>
      <c r="AA20" s="3"/>
      <c r="AB20" s="3"/>
      <c r="AC20" s="3"/>
      <c r="AD20" s="3"/>
      <c r="AE20" s="3"/>
      <c r="AF20" s="3"/>
    </row>
    <row r="21" spans="1:32" ht="19.5" customHeight="1" x14ac:dyDescent="0.3">
      <c r="A21" s="4"/>
      <c r="B21" s="3"/>
      <c r="C21" s="329" t="s">
        <v>113</v>
      </c>
      <c r="D21" s="217"/>
      <c r="E21" s="218"/>
      <c r="F21" s="39"/>
      <c r="G21" s="122"/>
      <c r="H21" s="174" t="e">
        <f>'4. Vulnérabilité'!V35</f>
        <v>#N/A</v>
      </c>
      <c r="I21" s="29"/>
      <c r="J21" s="174" t="e">
        <f>'5. Capacité'!P25</f>
        <v>#N/A</v>
      </c>
      <c r="K21" s="123"/>
      <c r="L21" s="123"/>
      <c r="M21" s="364" t="e">
        <f t="shared" si="0"/>
        <v>#N/A</v>
      </c>
      <c r="N21" s="217"/>
      <c r="O21" s="218"/>
      <c r="P21" s="3"/>
      <c r="Q21" s="4"/>
      <c r="R21" s="3"/>
      <c r="S21" s="120" t="s">
        <v>153</v>
      </c>
      <c r="T21" s="120">
        <v>0.33</v>
      </c>
      <c r="U21" s="120" t="s">
        <v>157</v>
      </c>
      <c r="V21" s="120" t="s">
        <v>158</v>
      </c>
      <c r="W21" s="120" t="s">
        <v>159</v>
      </c>
      <c r="X21" s="120" t="s">
        <v>159</v>
      </c>
      <c r="Y21" s="3"/>
      <c r="Z21" s="3"/>
      <c r="AA21" s="3"/>
      <c r="AB21" s="3"/>
      <c r="AC21" s="3"/>
      <c r="AD21" s="3"/>
      <c r="AE21" s="3"/>
      <c r="AF21" s="3"/>
    </row>
    <row r="22" spans="1:32" ht="19.5" customHeight="1" x14ac:dyDescent="0.3">
      <c r="A22" s="4"/>
      <c r="B22" s="3"/>
      <c r="C22" s="330" t="s">
        <v>114</v>
      </c>
      <c r="D22" s="217"/>
      <c r="E22" s="218"/>
      <c r="F22" s="39"/>
      <c r="G22" s="122"/>
      <c r="H22" s="175" t="e">
        <f>'4. Vulnérabilité'!V36</f>
        <v>#N/A</v>
      </c>
      <c r="I22" s="29"/>
      <c r="J22" s="174" t="e">
        <f>'5. Capacité'!P26</f>
        <v>#N/A</v>
      </c>
      <c r="K22" s="123"/>
      <c r="L22" s="123"/>
      <c r="M22" s="363" t="e">
        <f t="shared" si="0"/>
        <v>#N/A</v>
      </c>
      <c r="N22" s="217"/>
      <c r="O22" s="218"/>
      <c r="P22" s="3"/>
      <c r="Q22" s="4"/>
      <c r="R22" s="3"/>
      <c r="S22" s="120" t="s">
        <v>152</v>
      </c>
      <c r="T22" s="120">
        <v>0</v>
      </c>
      <c r="U22" s="120" t="s">
        <v>158</v>
      </c>
      <c r="V22" s="120" t="s">
        <v>159</v>
      </c>
      <c r="W22" s="120" t="s">
        <v>159</v>
      </c>
      <c r="X22" s="120" t="s">
        <v>159</v>
      </c>
      <c r="Y22" s="3"/>
      <c r="Z22" s="3"/>
      <c r="AA22" s="3"/>
      <c r="AB22" s="3"/>
      <c r="AC22" s="3"/>
      <c r="AD22" s="3"/>
      <c r="AE22" s="3"/>
      <c r="AF22" s="3"/>
    </row>
    <row r="23" spans="1:32" ht="19.5" customHeight="1" x14ac:dyDescent="0.3">
      <c r="A23" s="4"/>
      <c r="B23" s="3"/>
      <c r="C23" s="329" t="s">
        <v>160</v>
      </c>
      <c r="D23" s="217"/>
      <c r="E23" s="218"/>
      <c r="F23" s="39"/>
      <c r="G23" s="122"/>
      <c r="H23" s="124" t="s">
        <v>161</v>
      </c>
      <c r="I23" s="29"/>
      <c r="J23" s="124" t="s">
        <v>161</v>
      </c>
      <c r="K23" s="123"/>
      <c r="L23" s="123"/>
      <c r="M23" s="363" t="str">
        <f>'6. Cohésion, Inclusion, Connect'!S16</f>
        <v>ELEVEE</v>
      </c>
      <c r="N23" s="217"/>
      <c r="O23" s="218"/>
      <c r="P23" s="3"/>
      <c r="Q23" s="4"/>
      <c r="R23" s="3"/>
      <c r="S23" s="3"/>
      <c r="T23" s="3"/>
      <c r="U23" s="3"/>
      <c r="V23" s="3"/>
      <c r="W23" s="3"/>
      <c r="X23" s="3"/>
      <c r="Y23" s="3"/>
      <c r="Z23" s="3"/>
      <c r="AA23" s="3"/>
      <c r="AB23" s="3"/>
      <c r="AC23" s="3"/>
      <c r="AD23" s="3"/>
      <c r="AE23" s="3"/>
      <c r="AF23" s="3"/>
    </row>
    <row r="24" spans="1:32" ht="19.5" customHeight="1" x14ac:dyDescent="0.3">
      <c r="A24" s="4"/>
      <c r="B24" s="3"/>
      <c r="C24" s="125" t="s">
        <v>162</v>
      </c>
      <c r="D24" s="125"/>
      <c r="E24" s="125"/>
      <c r="F24" s="39"/>
      <c r="G24" s="122"/>
      <c r="H24" s="126" t="s">
        <v>161</v>
      </c>
      <c r="I24" s="29"/>
      <c r="J24" s="124"/>
      <c r="K24" s="123"/>
      <c r="L24" s="123"/>
      <c r="M24" s="363" t="str">
        <f>'6. Cohésion, Inclusion, Connect'!S17</f>
        <v>FAIBLE</v>
      </c>
      <c r="N24" s="217"/>
      <c r="O24" s="218"/>
      <c r="P24" s="3"/>
      <c r="Q24" s="4"/>
      <c r="R24" s="3"/>
      <c r="S24" s="3"/>
      <c r="T24" s="3"/>
      <c r="U24" s="3"/>
      <c r="V24" s="3"/>
      <c r="W24" s="3"/>
      <c r="X24" s="3"/>
      <c r="Y24" s="3"/>
      <c r="Z24" s="3"/>
      <c r="AA24" s="3"/>
      <c r="AB24" s="3"/>
      <c r="AC24" s="3"/>
      <c r="AD24" s="3"/>
      <c r="AE24" s="3"/>
      <c r="AF24" s="3"/>
    </row>
    <row r="25" spans="1:32" ht="20.25" customHeight="1" x14ac:dyDescent="0.3">
      <c r="A25" s="4"/>
      <c r="B25" s="3"/>
      <c r="C25" s="329" t="s">
        <v>29</v>
      </c>
      <c r="D25" s="217"/>
      <c r="E25" s="218"/>
      <c r="F25" s="39"/>
      <c r="G25" s="122"/>
      <c r="H25" s="126" t="s">
        <v>161</v>
      </c>
      <c r="I25" s="29"/>
      <c r="J25" s="124" t="s">
        <v>161</v>
      </c>
      <c r="K25" s="123"/>
      <c r="L25" s="123"/>
      <c r="M25" s="363" t="str">
        <f>'6. Cohésion, Inclusion, Connect'!S18</f>
        <v>FAIBLE</v>
      </c>
      <c r="N25" s="217"/>
      <c r="O25" s="218"/>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Innondation</v>
      </c>
      <c r="D27" s="95"/>
      <c r="E27" s="199"/>
      <c r="F27" s="197"/>
      <c r="G27" s="197"/>
      <c r="H27" s="198"/>
      <c r="I27" s="97"/>
      <c r="J27" s="179"/>
      <c r="K27" s="97"/>
      <c r="L27" s="97"/>
      <c r="M27" s="97"/>
      <c r="N27" s="97"/>
      <c r="O27" s="97"/>
      <c r="P27" s="3"/>
      <c r="Q27" s="4"/>
      <c r="R27" s="3"/>
      <c r="S27" s="120"/>
      <c r="T27" s="120"/>
      <c r="U27" s="120" t="s">
        <v>152</v>
      </c>
      <c r="V27" s="120" t="s">
        <v>153</v>
      </c>
      <c r="W27" s="120" t="s">
        <v>154</v>
      </c>
      <c r="X27" s="120" t="s">
        <v>155</v>
      </c>
      <c r="Y27" s="3"/>
      <c r="Z27" s="3"/>
      <c r="AA27" s="3"/>
      <c r="AB27" s="3"/>
      <c r="AC27" s="3"/>
      <c r="AD27" s="3"/>
      <c r="AE27" s="3"/>
      <c r="AF27" s="3"/>
    </row>
    <row r="28" spans="1:32" ht="12" customHeight="1" x14ac:dyDescent="0.3">
      <c r="A28" s="4"/>
      <c r="B28" s="3"/>
      <c r="C28" s="320"/>
      <c r="D28" s="217"/>
      <c r="E28" s="217"/>
      <c r="F28" s="217"/>
      <c r="G28" s="217"/>
      <c r="H28" s="217"/>
      <c r="I28" s="217"/>
      <c r="J28" s="217"/>
      <c r="K28" s="217"/>
      <c r="L28" s="217"/>
      <c r="M28" s="217"/>
      <c r="N28" s="217"/>
      <c r="O28" s="218"/>
      <c r="P28" s="3"/>
      <c r="Q28" s="4"/>
      <c r="R28" s="3"/>
      <c r="S28" s="120" t="s">
        <v>156</v>
      </c>
      <c r="T28" s="120"/>
      <c r="U28" s="120">
        <v>0</v>
      </c>
      <c r="V28" s="120">
        <v>0.33</v>
      </c>
      <c r="W28" s="120">
        <v>0.67</v>
      </c>
      <c r="X28" s="120">
        <v>1</v>
      </c>
      <c r="Y28" s="3"/>
      <c r="Z28" s="127"/>
      <c r="AA28" s="127"/>
      <c r="AB28" s="29"/>
      <c r="AC28" s="379"/>
      <c r="AD28" s="217"/>
      <c r="AE28" s="217"/>
      <c r="AF28" s="218"/>
    </row>
    <row r="29" spans="1:32" ht="15.75" customHeight="1" x14ac:dyDescent="0.3">
      <c r="A29" s="4"/>
      <c r="B29" s="3"/>
      <c r="C29" s="326" t="s">
        <v>17</v>
      </c>
      <c r="D29" s="217"/>
      <c r="E29" s="218"/>
      <c r="F29" s="39"/>
      <c r="G29" s="121"/>
      <c r="H29" s="173" t="s">
        <v>163</v>
      </c>
      <c r="I29" s="29"/>
      <c r="J29" s="173" t="s">
        <v>164</v>
      </c>
      <c r="K29" s="121"/>
      <c r="L29" s="121"/>
      <c r="M29" s="365" t="s">
        <v>151</v>
      </c>
      <c r="N29" s="217"/>
      <c r="O29" s="218"/>
      <c r="P29" s="3"/>
      <c r="Q29" s="4"/>
      <c r="R29" s="3"/>
      <c r="S29" s="120" t="s">
        <v>155</v>
      </c>
      <c r="T29" s="120">
        <v>1</v>
      </c>
      <c r="U29" s="128">
        <f>U28-T29</f>
        <v>-1</v>
      </c>
      <c r="V29" s="128">
        <f>V28-T29</f>
        <v>-0.66999999999999993</v>
      </c>
      <c r="W29" s="128">
        <f>W28-T29</f>
        <v>-0.32999999999999996</v>
      </c>
      <c r="X29" s="129">
        <f>X28-T29</f>
        <v>0</v>
      </c>
      <c r="Y29" s="3"/>
      <c r="Z29" s="130"/>
      <c r="AA29" s="130"/>
      <c r="AB29" s="29"/>
      <c r="AC29" s="130"/>
      <c r="AD29" s="130"/>
      <c r="AE29" s="130"/>
      <c r="AF29" s="130"/>
    </row>
    <row r="30" spans="1:32" ht="19.5" customHeight="1" x14ac:dyDescent="0.3">
      <c r="A30" s="4"/>
      <c r="B30" s="3"/>
      <c r="C30" s="329" t="s">
        <v>19</v>
      </c>
      <c r="D30" s="217"/>
      <c r="E30" s="218"/>
      <c r="F30" s="39"/>
      <c r="G30" s="122"/>
      <c r="H30" s="174" t="e">
        <f>'4. Vulnérabilité'!V42</f>
        <v>#N/A</v>
      </c>
      <c r="I30" s="29"/>
      <c r="J30" s="174" t="e">
        <f>'5. Capacité'!P33</f>
        <v>#N/A</v>
      </c>
      <c r="K30" s="123"/>
      <c r="L30" s="123"/>
      <c r="M30" s="364" t="e">
        <f t="shared" ref="M30:M37" si="1">IF(AND(H30&lt;&gt;"",J30&lt;&gt;""),IF((H30-J30)&lt;-0.32,"LOW",IF((H30-J30)&lt;0.33,"MODERATE","HIGH")),"")</f>
        <v>#N/A</v>
      </c>
      <c r="N30" s="217"/>
      <c r="O30" s="218"/>
      <c r="P30" s="3"/>
      <c r="Q30" s="4"/>
      <c r="R30" s="3"/>
      <c r="S30" s="120" t="s">
        <v>154</v>
      </c>
      <c r="T30" s="120">
        <v>0.67</v>
      </c>
      <c r="U30" s="128">
        <f>U28-T30</f>
        <v>-0.67</v>
      </c>
      <c r="V30" s="128">
        <f>V28-T30</f>
        <v>-0.34</v>
      </c>
      <c r="W30" s="129">
        <f>W28-T30</f>
        <v>0</v>
      </c>
      <c r="X30" s="131">
        <f>X28-T30</f>
        <v>0.32999999999999996</v>
      </c>
      <c r="Y30" s="3"/>
      <c r="Z30" s="132"/>
      <c r="AA30" s="132"/>
      <c r="AB30" s="29"/>
      <c r="AC30" s="132"/>
      <c r="AD30" s="132"/>
      <c r="AE30" s="132"/>
      <c r="AF30" s="132"/>
    </row>
    <row r="31" spans="1:32" ht="19.5" customHeight="1" x14ac:dyDescent="0.3">
      <c r="A31" s="4"/>
      <c r="B31" s="3"/>
      <c r="C31" s="330" t="s">
        <v>20</v>
      </c>
      <c r="D31" s="217"/>
      <c r="E31" s="218"/>
      <c r="F31" s="39"/>
      <c r="G31" s="122"/>
      <c r="H31" s="175" t="e">
        <f>'4. Vulnérabilité'!V43</f>
        <v>#N/A</v>
      </c>
      <c r="I31" s="29"/>
      <c r="J31" s="175" t="e">
        <f>'5. Capacité'!P34</f>
        <v>#N/A</v>
      </c>
      <c r="K31" s="123"/>
      <c r="L31" s="123"/>
      <c r="M31" s="364" t="e">
        <f t="shared" si="1"/>
        <v>#N/A</v>
      </c>
      <c r="N31" s="217"/>
      <c r="O31" s="218"/>
      <c r="P31" s="3"/>
      <c r="Q31" s="4"/>
      <c r="R31" s="3"/>
      <c r="S31" s="120" t="s">
        <v>153</v>
      </c>
      <c r="T31" s="120">
        <v>0.33</v>
      </c>
      <c r="U31" s="128">
        <f>U28-T31</f>
        <v>-0.33</v>
      </c>
      <c r="V31" s="129">
        <f>V28-T31</f>
        <v>0</v>
      </c>
      <c r="W31" s="131">
        <f>W28-T31</f>
        <v>0.34</v>
      </c>
      <c r="X31" s="131">
        <f>X28-T31</f>
        <v>0.66999999999999993</v>
      </c>
      <c r="Y31" s="3"/>
      <c r="Z31" s="132"/>
      <c r="AA31" s="29"/>
      <c r="AB31" s="29"/>
      <c r="AC31" s="29"/>
      <c r="AD31" s="29"/>
      <c r="AE31" s="29"/>
      <c r="AF31" s="29"/>
    </row>
    <row r="32" spans="1:32" ht="19.5" customHeight="1" x14ac:dyDescent="0.3">
      <c r="A32" s="4"/>
      <c r="B32" s="3"/>
      <c r="C32" s="329" t="s">
        <v>21</v>
      </c>
      <c r="D32" s="217"/>
      <c r="E32" s="218"/>
      <c r="F32" s="39"/>
      <c r="G32" s="122"/>
      <c r="H32" s="174" t="e">
        <f>'4. Vulnérabilité'!V44</f>
        <v>#N/A</v>
      </c>
      <c r="I32" s="29"/>
      <c r="J32" s="174" t="e">
        <f>'5. Capacité'!P35</f>
        <v>#N/A</v>
      </c>
      <c r="K32" s="123"/>
      <c r="L32" s="123"/>
      <c r="M32" s="364" t="e">
        <f t="shared" si="1"/>
        <v>#N/A</v>
      </c>
      <c r="N32" s="217"/>
      <c r="O32" s="218"/>
      <c r="P32" s="3"/>
      <c r="Q32" s="4"/>
      <c r="R32" s="3"/>
      <c r="S32" s="120"/>
      <c r="T32" s="120"/>
      <c r="U32" s="128"/>
      <c r="V32" s="129"/>
      <c r="W32" s="131"/>
      <c r="X32" s="131"/>
      <c r="Y32" s="3"/>
      <c r="Z32" s="132"/>
      <c r="AA32" s="29"/>
      <c r="AB32" s="29"/>
      <c r="AC32" s="29"/>
      <c r="AD32" s="29"/>
      <c r="AE32" s="29"/>
      <c r="AF32" s="29"/>
    </row>
    <row r="33" spans="1:32" ht="19.5" customHeight="1" x14ac:dyDescent="0.3">
      <c r="A33" s="4"/>
      <c r="B33" s="3"/>
      <c r="C33" s="330" t="s">
        <v>110</v>
      </c>
      <c r="D33" s="217"/>
      <c r="E33" s="218"/>
      <c r="F33" s="39"/>
      <c r="G33" s="122"/>
      <c r="H33" s="175" t="e">
        <f>'4. Vulnérabilité'!V45</f>
        <v>#N/A</v>
      </c>
      <c r="I33" s="29"/>
      <c r="J33" s="175" t="e">
        <f>'5. Capacité'!P36</f>
        <v>#N/A</v>
      </c>
      <c r="K33" s="123"/>
      <c r="L33" s="123"/>
      <c r="M33" s="364" t="e">
        <f t="shared" si="1"/>
        <v>#N/A</v>
      </c>
      <c r="N33" s="217"/>
      <c r="O33" s="218"/>
      <c r="P33" s="3"/>
      <c r="Q33" s="4"/>
      <c r="R33" s="3"/>
      <c r="S33" s="120"/>
      <c r="T33" s="120"/>
      <c r="U33" s="128"/>
      <c r="V33" s="129"/>
      <c r="W33" s="131"/>
      <c r="X33" s="131"/>
      <c r="Y33" s="3"/>
      <c r="Z33" s="132"/>
      <c r="AA33" s="29"/>
      <c r="AB33" s="29"/>
      <c r="AC33" s="29"/>
      <c r="AD33" s="29"/>
      <c r="AE33" s="29"/>
      <c r="AF33" s="29"/>
    </row>
    <row r="34" spans="1:32" ht="19.5" customHeight="1" x14ac:dyDescent="0.3">
      <c r="A34" s="4"/>
      <c r="B34" s="3"/>
      <c r="C34" s="329" t="s">
        <v>23</v>
      </c>
      <c r="D34" s="217"/>
      <c r="E34" s="218"/>
      <c r="F34" s="39"/>
      <c r="G34" s="122"/>
      <c r="H34" s="174" t="e">
        <f>'4. Vulnérabilité'!V46</f>
        <v>#N/A</v>
      </c>
      <c r="I34" s="29"/>
      <c r="J34" s="174" t="e">
        <f>'5. Capacité'!P37</f>
        <v>#N/A</v>
      </c>
      <c r="K34" s="123"/>
      <c r="L34" s="123"/>
      <c r="M34" s="364" t="e">
        <f t="shared" si="1"/>
        <v>#N/A</v>
      </c>
      <c r="N34" s="217"/>
      <c r="O34" s="218"/>
      <c r="P34" s="3"/>
      <c r="Q34" s="4"/>
      <c r="R34" s="3"/>
      <c r="S34" s="120"/>
      <c r="T34" s="120"/>
      <c r="U34" s="128"/>
      <c r="V34" s="129"/>
      <c r="W34" s="131"/>
      <c r="X34" s="131"/>
      <c r="Y34" s="3"/>
      <c r="Z34" s="132"/>
      <c r="AA34" s="29"/>
      <c r="AB34" s="29"/>
      <c r="AC34" s="29"/>
      <c r="AD34" s="29"/>
      <c r="AE34" s="29"/>
      <c r="AF34" s="29"/>
    </row>
    <row r="35" spans="1:32" ht="19.5" customHeight="1" x14ac:dyDescent="0.3">
      <c r="A35" s="4"/>
      <c r="B35" s="3"/>
      <c r="C35" s="330" t="s">
        <v>112</v>
      </c>
      <c r="D35" s="217"/>
      <c r="E35" s="218"/>
      <c r="F35" s="39"/>
      <c r="G35" s="122"/>
      <c r="H35" s="175" t="e">
        <f>'4. Vulnérabilité'!V47</f>
        <v>#N/A</v>
      </c>
      <c r="I35" s="29"/>
      <c r="J35" s="175" t="e">
        <f>'5. Capacité'!P38</f>
        <v>#N/A</v>
      </c>
      <c r="K35" s="123"/>
      <c r="L35" s="123"/>
      <c r="M35" s="364" t="e">
        <f t="shared" si="1"/>
        <v>#N/A</v>
      </c>
      <c r="N35" s="217"/>
      <c r="O35" s="218"/>
      <c r="P35" s="3"/>
      <c r="Q35" s="4"/>
      <c r="R35" s="3"/>
      <c r="S35" s="120" t="s">
        <v>152</v>
      </c>
      <c r="T35" s="120">
        <v>0</v>
      </c>
      <c r="U35" s="129">
        <v>0</v>
      </c>
      <c r="V35" s="131">
        <f>V28-T35</f>
        <v>0.33</v>
      </c>
      <c r="W35" s="131">
        <f>W28-T35</f>
        <v>0.67</v>
      </c>
      <c r="X35" s="131">
        <f>X28-T35</f>
        <v>1</v>
      </c>
      <c r="Y35" s="3"/>
      <c r="Z35" s="132"/>
      <c r="AA35" s="29"/>
      <c r="AB35" s="29"/>
      <c r="AC35" s="29"/>
      <c r="AD35" s="29"/>
      <c r="AE35" s="29"/>
      <c r="AF35" s="29"/>
    </row>
    <row r="36" spans="1:32" ht="19.5" customHeight="1" x14ac:dyDescent="0.3">
      <c r="A36" s="4"/>
      <c r="B36" s="3"/>
      <c r="C36" s="329" t="s">
        <v>113</v>
      </c>
      <c r="D36" s="217"/>
      <c r="E36" s="218"/>
      <c r="F36" s="39"/>
      <c r="G36" s="122"/>
      <c r="H36" s="174" t="e">
        <f>'4. Vulnérabilité'!V48</f>
        <v>#N/A</v>
      </c>
      <c r="I36" s="29"/>
      <c r="J36" s="174" t="e">
        <f>'5. Capacité'!P39</f>
        <v>#N/A</v>
      </c>
      <c r="K36" s="123"/>
      <c r="L36" s="123"/>
      <c r="M36" s="364" t="e">
        <f t="shared" si="1"/>
        <v>#N/A</v>
      </c>
      <c r="N36" s="217"/>
      <c r="O36" s="218"/>
      <c r="P36" s="3"/>
      <c r="Q36" s="4"/>
      <c r="R36" s="3"/>
      <c r="S36" s="3"/>
      <c r="T36" s="3"/>
      <c r="U36" s="3"/>
      <c r="V36" s="3"/>
      <c r="W36" s="3"/>
      <c r="X36" s="3"/>
      <c r="Y36" s="3"/>
      <c r="Z36" s="132"/>
      <c r="AA36" s="29"/>
      <c r="AB36" s="29"/>
      <c r="AC36" s="29"/>
      <c r="AD36" s="29"/>
      <c r="AE36" s="29"/>
      <c r="AF36" s="29"/>
    </row>
    <row r="37" spans="1:32" ht="19.5" customHeight="1" x14ac:dyDescent="0.3">
      <c r="A37" s="4"/>
      <c r="B37" s="3"/>
      <c r="C37" s="330" t="s">
        <v>114</v>
      </c>
      <c r="D37" s="217"/>
      <c r="E37" s="218"/>
      <c r="F37" s="39"/>
      <c r="G37" s="122"/>
      <c r="H37" s="175" t="e">
        <f>'4. Vulnérabilité'!V49</f>
        <v>#N/A</v>
      </c>
      <c r="I37" s="29"/>
      <c r="J37" s="175" t="e">
        <f>'5. Capacité'!P40</f>
        <v>#N/A</v>
      </c>
      <c r="K37" s="123"/>
      <c r="L37" s="123"/>
      <c r="M37" s="364" t="e">
        <f t="shared" si="1"/>
        <v>#N/A</v>
      </c>
      <c r="N37" s="217"/>
      <c r="O37" s="218"/>
      <c r="P37" s="3"/>
      <c r="Q37" s="4"/>
      <c r="R37" s="3"/>
      <c r="S37" s="132"/>
      <c r="T37" s="29"/>
      <c r="U37" s="133"/>
      <c r="V37" s="133"/>
      <c r="W37" s="133"/>
      <c r="X37" s="132"/>
      <c r="Y37" s="132"/>
      <c r="Z37" s="132"/>
      <c r="AA37" s="29"/>
      <c r="AB37" s="29"/>
      <c r="AC37" s="29"/>
      <c r="AD37" s="29"/>
      <c r="AE37" s="29"/>
      <c r="AF37" s="29"/>
    </row>
    <row r="38" spans="1:32" ht="19.5" customHeight="1" x14ac:dyDescent="0.3">
      <c r="A38" s="4"/>
      <c r="B38" s="3"/>
      <c r="C38" s="329" t="s">
        <v>160</v>
      </c>
      <c r="D38" s="217"/>
      <c r="E38" s="218"/>
      <c r="F38" s="39"/>
      <c r="G38" s="122"/>
      <c r="H38" s="124" t="s">
        <v>161</v>
      </c>
      <c r="I38" s="3"/>
      <c r="J38" s="124" t="s">
        <v>161</v>
      </c>
      <c r="K38" s="123"/>
      <c r="L38" s="123"/>
      <c r="M38" s="364" t="str">
        <f t="shared" ref="M38:M40" si="2">M23</f>
        <v>ELEVEE</v>
      </c>
      <c r="N38" s="217"/>
      <c r="O38" s="218"/>
      <c r="P38" s="3"/>
      <c r="Q38" s="4"/>
      <c r="R38" s="3"/>
      <c r="S38" s="132"/>
      <c r="T38" s="29"/>
      <c r="U38" s="133"/>
      <c r="V38" s="133"/>
      <c r="W38" s="133"/>
      <c r="X38" s="132"/>
      <c r="Y38" s="132"/>
      <c r="Z38" s="132"/>
      <c r="AA38" s="29"/>
      <c r="AB38" s="29"/>
      <c r="AC38" s="29"/>
      <c r="AD38" s="29"/>
      <c r="AE38" s="29"/>
      <c r="AF38" s="29"/>
    </row>
    <row r="39" spans="1:32" ht="19.5" customHeight="1" x14ac:dyDescent="0.3">
      <c r="A39" s="4"/>
      <c r="B39" s="3"/>
      <c r="C39" s="330" t="s">
        <v>162</v>
      </c>
      <c r="D39" s="217"/>
      <c r="E39" s="218"/>
      <c r="F39" s="39"/>
      <c r="G39" s="122"/>
      <c r="H39" s="124"/>
      <c r="I39" s="3"/>
      <c r="J39" s="124"/>
      <c r="K39" s="123"/>
      <c r="L39" s="123"/>
      <c r="M39" s="364" t="str">
        <f t="shared" si="2"/>
        <v>FAIBLE</v>
      </c>
      <c r="N39" s="217"/>
      <c r="O39" s="218"/>
      <c r="P39" s="3"/>
      <c r="Q39" s="4"/>
      <c r="R39" s="3"/>
      <c r="S39" s="132"/>
      <c r="T39" s="37"/>
      <c r="U39" s="134"/>
      <c r="V39" s="134"/>
      <c r="W39" s="134"/>
      <c r="X39" s="132"/>
      <c r="Y39" s="132"/>
      <c r="Z39" s="132"/>
      <c r="AA39" s="29"/>
      <c r="AB39" s="29"/>
      <c r="AC39" s="29"/>
      <c r="AD39" s="29"/>
      <c r="AE39" s="29"/>
      <c r="AF39" s="29"/>
    </row>
    <row r="40" spans="1:32" ht="19.5" customHeight="1" x14ac:dyDescent="0.3">
      <c r="A40" s="4"/>
      <c r="B40" s="3"/>
      <c r="C40" s="329" t="s">
        <v>29</v>
      </c>
      <c r="D40" s="217"/>
      <c r="E40" s="218"/>
      <c r="F40" s="39"/>
      <c r="G40" s="122"/>
      <c r="H40" s="124" t="s">
        <v>161</v>
      </c>
      <c r="I40" s="3"/>
      <c r="J40" s="124" t="s">
        <v>161</v>
      </c>
      <c r="K40" s="123"/>
      <c r="L40" s="123"/>
      <c r="M40" s="364" t="str">
        <f t="shared" si="2"/>
        <v>FAIBLE</v>
      </c>
      <c r="N40" s="217"/>
      <c r="O40" s="218"/>
      <c r="P40" s="3"/>
      <c r="Q40" s="4"/>
      <c r="R40" s="3"/>
      <c r="S40" s="132"/>
      <c r="T40" s="135"/>
      <c r="U40" s="136"/>
      <c r="V40" s="136"/>
      <c r="W40" s="136"/>
      <c r="X40" s="132"/>
      <c r="Y40" s="132"/>
      <c r="Z40" s="132"/>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331"/>
      <c r="F42" s="197"/>
      <c r="G42" s="197"/>
      <c r="H42" s="198"/>
      <c r="I42" s="100"/>
      <c r="J42" s="180"/>
      <c r="K42" s="100"/>
      <c r="L42" s="100"/>
      <c r="M42" s="100"/>
      <c r="N42" s="100"/>
      <c r="O42" s="100"/>
      <c r="P42" s="3"/>
      <c r="Q42" s="4"/>
      <c r="R42" s="3"/>
      <c r="S42" s="3"/>
      <c r="T42" s="3"/>
      <c r="U42" s="3"/>
      <c r="V42" s="3"/>
      <c r="W42" s="3"/>
      <c r="X42" s="378"/>
      <c r="Y42" s="217"/>
      <c r="Z42" s="217"/>
      <c r="AA42" s="218"/>
      <c r="AB42" s="3"/>
      <c r="AC42" s="378"/>
      <c r="AD42" s="217"/>
      <c r="AE42" s="217"/>
      <c r="AF42" s="218"/>
    </row>
    <row r="43" spans="1:32" ht="12" customHeight="1" x14ac:dyDescent="0.3">
      <c r="A43" s="4"/>
      <c r="B43" s="3"/>
      <c r="C43" s="320"/>
      <c r="D43" s="217"/>
      <c r="E43" s="217"/>
      <c r="F43" s="217"/>
      <c r="G43" s="217"/>
      <c r="H43" s="217"/>
      <c r="I43" s="217"/>
      <c r="J43" s="217"/>
      <c r="K43" s="217"/>
      <c r="L43" s="217"/>
      <c r="M43" s="217"/>
      <c r="N43" s="217"/>
      <c r="O43" s="218"/>
      <c r="P43" s="3"/>
      <c r="Q43" s="4"/>
      <c r="R43" s="3"/>
      <c r="S43" s="3"/>
      <c r="T43" s="3"/>
      <c r="U43" s="3"/>
      <c r="V43" s="3"/>
      <c r="W43" s="3"/>
      <c r="X43" s="379"/>
      <c r="Y43" s="217"/>
      <c r="Z43" s="217"/>
      <c r="AA43" s="218"/>
      <c r="AB43" s="29"/>
      <c r="AC43" s="379"/>
      <c r="AD43" s="217"/>
      <c r="AE43" s="217"/>
      <c r="AF43" s="218"/>
    </row>
    <row r="44" spans="1:32" ht="15.75" customHeight="1" x14ac:dyDescent="0.3">
      <c r="A44" s="4"/>
      <c r="B44" s="3"/>
      <c r="C44" s="326" t="s">
        <v>17</v>
      </c>
      <c r="D44" s="217"/>
      <c r="E44" s="218"/>
      <c r="F44" s="39"/>
      <c r="G44" s="121"/>
      <c r="H44" s="173" t="s">
        <v>163</v>
      </c>
      <c r="I44" s="29"/>
      <c r="J44" s="173" t="s">
        <v>164</v>
      </c>
      <c r="K44" s="121"/>
      <c r="L44" s="121"/>
      <c r="M44" s="365" t="s">
        <v>151</v>
      </c>
      <c r="N44" s="217"/>
      <c r="O44" s="218"/>
      <c r="P44" s="3"/>
      <c r="Q44" s="4"/>
      <c r="R44" s="3"/>
      <c r="S44" s="3"/>
      <c r="T44" s="3"/>
      <c r="U44" s="3"/>
      <c r="V44" s="3"/>
      <c r="W44" s="3"/>
      <c r="X44" s="130"/>
      <c r="Y44" s="130"/>
      <c r="Z44" s="130"/>
      <c r="AA44" s="130"/>
      <c r="AB44" s="29"/>
      <c r="AC44" s="130"/>
      <c r="AD44" s="130"/>
      <c r="AE44" s="130"/>
      <c r="AF44" s="130"/>
    </row>
    <row r="45" spans="1:32" ht="19.5" customHeight="1" x14ac:dyDescent="0.3">
      <c r="A45" s="4"/>
      <c r="B45" s="3"/>
      <c r="C45" s="329" t="s">
        <v>19</v>
      </c>
      <c r="D45" s="217"/>
      <c r="E45" s="218"/>
      <c r="F45" s="39"/>
      <c r="G45" s="122"/>
      <c r="H45" s="174" t="e">
        <f>'4. Vulnérabilité'!V54</f>
        <v>#N/A</v>
      </c>
      <c r="I45" s="29"/>
      <c r="J45" s="174" t="e">
        <f>'5. Capacité'!P47</f>
        <v>#N/A</v>
      </c>
      <c r="K45" s="123"/>
      <c r="L45" s="123"/>
      <c r="M45" s="364" t="e">
        <f t="shared" ref="M45:M52" si="3">IF(AND(H45&lt;&gt;"",J45&lt;&gt;""),IF((H45-J45)&lt;-0.32,"LOW",IF((H45-J45)&lt;0.33,"MODERATE","HIGH")),"")</f>
        <v>#N/A</v>
      </c>
      <c r="N45" s="217"/>
      <c r="O45" s="218"/>
      <c r="P45" s="3"/>
      <c r="Q45" s="4"/>
      <c r="R45" s="3"/>
      <c r="S45" s="137"/>
      <c r="T45" s="137"/>
      <c r="U45" s="137"/>
      <c r="V45" s="137"/>
      <c r="W45" s="137"/>
      <c r="X45" s="132"/>
      <c r="Y45" s="132"/>
      <c r="Z45" s="132"/>
      <c r="AA45" s="132"/>
      <c r="AB45" s="29"/>
      <c r="AC45" s="132"/>
      <c r="AD45" s="132"/>
      <c r="AE45" s="132"/>
      <c r="AF45" s="132"/>
    </row>
    <row r="46" spans="1:32" ht="19.5" customHeight="1" x14ac:dyDescent="0.3">
      <c r="A46" s="4"/>
      <c r="B46" s="3"/>
      <c r="C46" s="330" t="s">
        <v>20</v>
      </c>
      <c r="D46" s="217"/>
      <c r="E46" s="218"/>
      <c r="F46" s="39"/>
      <c r="G46" s="122"/>
      <c r="H46" s="175" t="e">
        <f>'4. Vulnérabilité'!#REF!</f>
        <v>#REF!</v>
      </c>
      <c r="I46" s="29"/>
      <c r="J46" s="175" t="e">
        <f>'5. Capacité'!P48</f>
        <v>#N/A</v>
      </c>
      <c r="K46" s="123"/>
      <c r="L46" s="123"/>
      <c r="M46" s="364" t="e">
        <f t="shared" si="3"/>
        <v>#REF!</v>
      </c>
      <c r="N46" s="217"/>
      <c r="O46" s="218"/>
      <c r="P46" s="3"/>
      <c r="Q46" s="4"/>
      <c r="R46" s="3"/>
      <c r="S46" s="132"/>
      <c r="T46" s="366"/>
      <c r="U46" s="368"/>
      <c r="V46" s="136"/>
      <c r="W46" s="136"/>
      <c r="X46" s="132"/>
      <c r="Y46" s="132"/>
      <c r="Z46" s="132"/>
      <c r="AA46" s="132"/>
      <c r="AB46" s="29"/>
      <c r="AC46" s="132"/>
      <c r="AD46" s="132"/>
      <c r="AE46" s="132"/>
      <c r="AF46" s="132"/>
    </row>
    <row r="47" spans="1:32" ht="19.5" customHeight="1" x14ac:dyDescent="0.3">
      <c r="A47" s="4"/>
      <c r="B47" s="3"/>
      <c r="C47" s="329" t="s">
        <v>21</v>
      </c>
      <c r="D47" s="217"/>
      <c r="E47" s="218"/>
      <c r="F47" s="39"/>
      <c r="G47" s="122"/>
      <c r="H47" s="174" t="e">
        <f>'4. Vulnérabilité'!V56</f>
        <v>#N/A</v>
      </c>
      <c r="I47" s="29"/>
      <c r="J47" s="174" t="e">
        <f>'5. Capacité'!P49</f>
        <v>#N/A</v>
      </c>
      <c r="K47" s="123"/>
      <c r="L47" s="123"/>
      <c r="M47" s="364" t="e">
        <f t="shared" si="3"/>
        <v>#N/A</v>
      </c>
      <c r="N47" s="217"/>
      <c r="O47" s="218"/>
      <c r="P47" s="3"/>
      <c r="Q47" s="4"/>
      <c r="R47" s="3"/>
      <c r="S47" s="132"/>
      <c r="T47" s="367"/>
      <c r="U47" s="367"/>
      <c r="V47" s="138"/>
      <c r="W47" s="138"/>
      <c r="X47" s="132"/>
      <c r="Y47" s="132"/>
      <c r="Z47" s="132"/>
      <c r="AA47" s="132"/>
      <c r="AB47" s="29"/>
      <c r="AC47" s="132"/>
      <c r="AD47" s="132"/>
      <c r="AE47" s="132"/>
      <c r="AF47" s="132"/>
    </row>
    <row r="48" spans="1:32" ht="19.5" customHeight="1" x14ac:dyDescent="0.3">
      <c r="A48" s="4"/>
      <c r="B48" s="3"/>
      <c r="C48" s="330" t="s">
        <v>110</v>
      </c>
      <c r="D48" s="217"/>
      <c r="E48" s="218"/>
      <c r="F48" s="39"/>
      <c r="G48" s="122"/>
      <c r="H48" s="175" t="e">
        <f>'4. Vulnérabilité'!V57</f>
        <v>#N/A</v>
      </c>
      <c r="I48" s="29"/>
      <c r="J48" s="175" t="e">
        <f>'5. Capacité'!#REF!</f>
        <v>#REF!</v>
      </c>
      <c r="K48" s="123"/>
      <c r="L48" s="123"/>
      <c r="M48" s="364" t="e">
        <f t="shared" si="3"/>
        <v>#N/A</v>
      </c>
      <c r="N48" s="217"/>
      <c r="O48" s="218"/>
      <c r="P48" s="3"/>
      <c r="Q48" s="4"/>
      <c r="R48" s="3"/>
      <c r="S48" s="132"/>
      <c r="T48" s="367"/>
      <c r="U48" s="367"/>
      <c r="V48" s="138"/>
      <c r="W48" s="138"/>
      <c r="X48" s="132"/>
      <c r="Y48" s="132"/>
      <c r="Z48" s="132"/>
      <c r="AA48" s="132"/>
      <c r="AB48" s="29"/>
      <c r="AC48" s="132"/>
      <c r="AD48" s="132"/>
      <c r="AE48" s="132"/>
      <c r="AF48" s="132"/>
    </row>
    <row r="49" spans="1:32" ht="19.5" customHeight="1" x14ac:dyDescent="0.3">
      <c r="A49" s="4"/>
      <c r="B49" s="3"/>
      <c r="C49" s="329" t="s">
        <v>23</v>
      </c>
      <c r="D49" s="217"/>
      <c r="E49" s="218"/>
      <c r="F49" s="39"/>
      <c r="G49" s="122"/>
      <c r="H49" s="174" t="e">
        <f>'4. Vulnérabilité'!V58</f>
        <v>#N/A</v>
      </c>
      <c r="I49" s="29"/>
      <c r="J49" s="174" t="e">
        <f>'5. Capacité'!#REF!</f>
        <v>#REF!</v>
      </c>
      <c r="K49" s="123"/>
      <c r="L49" s="123"/>
      <c r="M49" s="364" t="e">
        <f t="shared" si="3"/>
        <v>#N/A</v>
      </c>
      <c r="N49" s="217"/>
      <c r="O49" s="218"/>
      <c r="P49" s="3"/>
      <c r="Q49" s="4"/>
      <c r="R49" s="3"/>
      <c r="S49" s="132"/>
      <c r="T49" s="367"/>
      <c r="U49" s="367"/>
      <c r="V49" s="138"/>
      <c r="W49" s="138"/>
      <c r="X49" s="132"/>
      <c r="Y49" s="132"/>
      <c r="Z49" s="132"/>
      <c r="AA49" s="132"/>
      <c r="AB49" s="29"/>
      <c r="AC49" s="132"/>
      <c r="AD49" s="132"/>
      <c r="AE49" s="132"/>
      <c r="AF49" s="132"/>
    </row>
    <row r="50" spans="1:32" ht="19.5" customHeight="1" x14ac:dyDescent="0.3">
      <c r="A50" s="4"/>
      <c r="B50" s="3"/>
      <c r="C50" s="330" t="s">
        <v>112</v>
      </c>
      <c r="D50" s="217"/>
      <c r="E50" s="218"/>
      <c r="F50" s="39"/>
      <c r="G50" s="122"/>
      <c r="H50" s="175" t="e">
        <f>'4. Vulnérabilité'!V59</f>
        <v>#N/A</v>
      </c>
      <c r="I50" s="29"/>
      <c r="J50" s="175" t="e">
        <f>'5. Capacité'!#REF!</f>
        <v>#REF!</v>
      </c>
      <c r="K50" s="123"/>
      <c r="L50" s="123"/>
      <c r="M50" s="364" t="e">
        <f t="shared" si="3"/>
        <v>#N/A</v>
      </c>
      <c r="N50" s="217"/>
      <c r="O50" s="218"/>
      <c r="P50" s="3"/>
      <c r="Q50" s="4"/>
      <c r="R50" s="3"/>
      <c r="S50" s="132"/>
      <c r="T50" s="246"/>
      <c r="U50" s="246"/>
      <c r="V50" s="139"/>
      <c r="W50" s="139"/>
      <c r="X50" s="132"/>
      <c r="Y50" s="132"/>
      <c r="Z50" s="132"/>
      <c r="AA50" s="132"/>
      <c r="AB50" s="29"/>
      <c r="AC50" s="132"/>
      <c r="AD50" s="132"/>
      <c r="AE50" s="132"/>
      <c r="AF50" s="132"/>
    </row>
    <row r="51" spans="1:32" ht="19.5" customHeight="1" x14ac:dyDescent="0.3">
      <c r="A51" s="4"/>
      <c r="B51" s="3"/>
      <c r="C51" s="329" t="s">
        <v>113</v>
      </c>
      <c r="D51" s="217"/>
      <c r="E51" s="218"/>
      <c r="F51" s="39"/>
      <c r="G51" s="122"/>
      <c r="H51" s="174" t="e">
        <f>'4. Vulnérabilité'!V60</f>
        <v>#N/A</v>
      </c>
      <c r="I51" s="29"/>
      <c r="J51" s="174" t="e">
        <f>'5. Capacité'!P51</f>
        <v>#N/A</v>
      </c>
      <c r="K51" s="123"/>
      <c r="L51" s="123"/>
      <c r="M51" s="364" t="e">
        <f t="shared" si="3"/>
        <v>#N/A</v>
      </c>
      <c r="N51" s="217"/>
      <c r="O51" s="218"/>
      <c r="P51" s="3"/>
      <c r="Q51" s="4"/>
      <c r="R51" s="3"/>
      <c r="S51" s="132"/>
      <c r="T51" s="366"/>
      <c r="U51" s="368"/>
      <c r="V51" s="136"/>
      <c r="W51" s="136"/>
      <c r="X51" s="132"/>
      <c r="Y51" s="132"/>
      <c r="Z51" s="132"/>
      <c r="AA51" s="132"/>
      <c r="AB51" s="29"/>
      <c r="AC51" s="132"/>
      <c r="AD51" s="132"/>
      <c r="AE51" s="132"/>
      <c r="AF51" s="132"/>
    </row>
    <row r="52" spans="1:32" ht="19.5" customHeight="1" x14ac:dyDescent="0.3">
      <c r="A52" s="4"/>
      <c r="B52" s="3"/>
      <c r="C52" s="330" t="s">
        <v>114</v>
      </c>
      <c r="D52" s="217"/>
      <c r="E52" s="218"/>
      <c r="F52" s="39"/>
      <c r="G52" s="122"/>
      <c r="H52" s="175" t="e">
        <f>'4. Vulnérabilité'!#REF!</f>
        <v>#REF!</v>
      </c>
      <c r="I52" s="29"/>
      <c r="J52" s="175" t="e">
        <f>'5. Capacité'!P52</f>
        <v>#N/A</v>
      </c>
      <c r="K52" s="123"/>
      <c r="L52" s="123"/>
      <c r="M52" s="364" t="e">
        <f t="shared" si="3"/>
        <v>#REF!</v>
      </c>
      <c r="N52" s="217"/>
      <c r="O52" s="218"/>
      <c r="P52" s="3"/>
      <c r="Q52" s="4"/>
      <c r="R52" s="3"/>
      <c r="S52" s="132"/>
      <c r="T52" s="367"/>
      <c r="U52" s="367"/>
      <c r="V52" s="138"/>
      <c r="W52" s="138"/>
      <c r="X52" s="132"/>
      <c r="Y52" s="132"/>
      <c r="Z52" s="132"/>
      <c r="AA52" s="132"/>
      <c r="AB52" s="29"/>
      <c r="AC52" s="132"/>
      <c r="AD52" s="132"/>
      <c r="AE52" s="132"/>
      <c r="AF52" s="132"/>
    </row>
    <row r="53" spans="1:32" ht="19.5" customHeight="1" x14ac:dyDescent="0.3">
      <c r="A53" s="4"/>
      <c r="B53" s="3"/>
      <c r="C53" s="329" t="s">
        <v>160</v>
      </c>
      <c r="D53" s="217"/>
      <c r="E53" s="218"/>
      <c r="F53" s="39"/>
      <c r="G53" s="122"/>
      <c r="H53" s="124" t="s">
        <v>161</v>
      </c>
      <c r="I53" s="29"/>
      <c r="J53" s="124" t="s">
        <v>161</v>
      </c>
      <c r="K53" s="123"/>
      <c r="L53" s="123"/>
      <c r="M53" s="364" t="str">
        <f t="shared" ref="M53:M55" si="4">M38</f>
        <v>ELEVEE</v>
      </c>
      <c r="N53" s="217"/>
      <c r="O53" s="218"/>
      <c r="P53" s="3"/>
      <c r="Q53" s="4"/>
      <c r="R53" s="3"/>
      <c r="S53" s="132"/>
      <c r="T53" s="246"/>
      <c r="U53" s="246"/>
      <c r="V53" s="139"/>
      <c r="W53" s="139"/>
      <c r="X53" s="132"/>
      <c r="Y53" s="132"/>
      <c r="Z53" s="132"/>
      <c r="AA53" s="132"/>
      <c r="AB53" s="29"/>
      <c r="AC53" s="132"/>
      <c r="AD53" s="132"/>
      <c r="AE53" s="132"/>
      <c r="AF53" s="132"/>
    </row>
    <row r="54" spans="1:32" ht="19.5" customHeight="1" x14ac:dyDescent="0.3">
      <c r="A54" s="4"/>
      <c r="B54" s="3"/>
      <c r="C54" s="330" t="s">
        <v>162</v>
      </c>
      <c r="D54" s="217"/>
      <c r="E54" s="218"/>
      <c r="F54" s="39"/>
      <c r="G54" s="122"/>
      <c r="H54" s="124"/>
      <c r="I54" s="29"/>
      <c r="J54" s="124"/>
      <c r="K54" s="123"/>
      <c r="L54" s="123"/>
      <c r="M54" s="364" t="str">
        <f t="shared" si="4"/>
        <v>FAIBLE</v>
      </c>
      <c r="N54" s="217"/>
      <c r="O54" s="218"/>
      <c r="P54" s="3"/>
      <c r="Q54" s="4"/>
      <c r="R54" s="3"/>
      <c r="S54" s="132"/>
      <c r="T54" s="140"/>
      <c r="U54" s="138"/>
      <c r="V54" s="138"/>
      <c r="W54" s="138"/>
      <c r="X54" s="132"/>
      <c r="Y54" s="132"/>
      <c r="Z54" s="132"/>
      <c r="AA54" s="132"/>
      <c r="AB54" s="29"/>
      <c r="AC54" s="132"/>
      <c r="AD54" s="132"/>
      <c r="AE54" s="132"/>
      <c r="AF54" s="132"/>
    </row>
    <row r="55" spans="1:32" ht="19.5" customHeight="1" x14ac:dyDescent="0.3">
      <c r="A55" s="4"/>
      <c r="B55" s="3"/>
      <c r="C55" s="329" t="s">
        <v>29</v>
      </c>
      <c r="D55" s="217"/>
      <c r="E55" s="218"/>
      <c r="F55" s="39"/>
      <c r="G55" s="122"/>
      <c r="H55" s="124" t="s">
        <v>161</v>
      </c>
      <c r="I55" s="29"/>
      <c r="J55" s="124" t="s">
        <v>161</v>
      </c>
      <c r="K55" s="123"/>
      <c r="L55" s="123"/>
      <c r="M55" s="363" t="str">
        <f t="shared" si="4"/>
        <v>FAIBLE</v>
      </c>
      <c r="N55" s="217"/>
      <c r="O55" s="218"/>
      <c r="P55" s="3"/>
      <c r="Q55" s="4"/>
      <c r="R55" s="3"/>
      <c r="S55" s="132"/>
      <c r="T55" s="135"/>
      <c r="U55" s="136"/>
      <c r="V55" s="136"/>
      <c r="W55" s="136"/>
      <c r="X55" s="132"/>
      <c r="Y55" s="132"/>
      <c r="Z55" s="132"/>
      <c r="AA55" s="132"/>
      <c r="AB55" s="29"/>
      <c r="AC55" s="132"/>
      <c r="AD55" s="132"/>
      <c r="AE55" s="132"/>
      <c r="AF55" s="132"/>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6"/>
      <c r="I57" s="4"/>
      <c r="J57" s="176"/>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165</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166</v>
      </c>
      <c r="N62" s="3" t="s">
        <v>167</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1">
        <v>1.0000000000000013</v>
      </c>
      <c r="N263" s="141">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 ref="M14:O14"/>
    <mergeCell ref="M15:O15"/>
    <mergeCell ref="J5:O5"/>
    <mergeCell ref="A8:Q8"/>
    <mergeCell ref="C10:O10"/>
    <mergeCell ref="E12:H12"/>
    <mergeCell ref="C13:O13"/>
    <mergeCell ref="C14:E14"/>
    <mergeCell ref="C15:E15"/>
    <mergeCell ref="S5:U7"/>
    <mergeCell ref="W6:X8"/>
    <mergeCell ref="T9:T10"/>
    <mergeCell ref="U9:U10"/>
    <mergeCell ref="W9:W11"/>
    <mergeCell ref="A1:Q1"/>
    <mergeCell ref="S2:AB2"/>
    <mergeCell ref="A4:C6"/>
    <mergeCell ref="S4:U4"/>
    <mergeCell ref="W4:AB5"/>
    <mergeCell ref="E5:H5"/>
    <mergeCell ref="Y6:AB6"/>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M23:O23"/>
    <mergeCell ref="M24:O24"/>
    <mergeCell ref="M25:O25"/>
    <mergeCell ref="C16:E16"/>
    <mergeCell ref="M16:O16"/>
    <mergeCell ref="C17:E17"/>
    <mergeCell ref="M17:O17"/>
    <mergeCell ref="C18:E18"/>
    <mergeCell ref="M18:O18"/>
    <mergeCell ref="M19:O19"/>
    <mergeCell ref="C19:E19"/>
    <mergeCell ref="C20:E20"/>
    <mergeCell ref="M20:O20"/>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opLeftCell="A9" zoomScale="90" zoomScaleNormal="90" workbookViewId="0">
      <selection activeCell="L17" sqref="L17"/>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63.69921875" customWidth="1"/>
    <col min="15" max="16" width="1.69921875" customWidth="1"/>
    <col min="17" max="17" width="1" customWidth="1"/>
    <col min="18" max="26" width="10.69921875" customWidth="1"/>
  </cols>
  <sheetData>
    <row r="1" spans="1:26" ht="39.75" customHeight="1" x14ac:dyDescent="0.4">
      <c r="A1" s="142" t="s">
        <v>168</v>
      </c>
      <c r="B1" s="142"/>
      <c r="C1" s="142"/>
      <c r="D1" s="142"/>
      <c r="E1" s="142"/>
      <c r="F1" s="142"/>
      <c r="G1" s="142"/>
      <c r="H1" s="142"/>
      <c r="I1" s="142"/>
      <c r="J1" s="142"/>
      <c r="K1" s="142"/>
      <c r="L1" s="142"/>
      <c r="M1" s="142"/>
      <c r="N1" s="142"/>
      <c r="O1" s="142"/>
      <c r="P1" s="142"/>
      <c r="Q1" s="142"/>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1" t="s">
        <v>6</v>
      </c>
      <c r="B4" s="201"/>
      <c r="C4" s="202"/>
      <c r="D4" s="6"/>
      <c r="E4" s="7"/>
      <c r="F4" s="7"/>
      <c r="G4" s="7"/>
      <c r="H4" s="7"/>
      <c r="I4" s="7"/>
      <c r="J4" s="7"/>
      <c r="K4" s="7"/>
      <c r="L4" s="7"/>
      <c r="M4" s="7"/>
      <c r="N4" s="7"/>
      <c r="O4" s="7"/>
      <c r="P4" s="7"/>
      <c r="Q4" s="7"/>
      <c r="R4" s="3"/>
      <c r="S4" s="3"/>
      <c r="T4" s="3"/>
      <c r="U4" s="3"/>
      <c r="V4" s="3"/>
      <c r="W4" s="3"/>
      <c r="X4" s="3"/>
      <c r="Y4" s="3"/>
      <c r="Z4" s="3"/>
    </row>
    <row r="5" spans="1:26" ht="31.5" customHeight="1" x14ac:dyDescent="0.3">
      <c r="A5" s="203"/>
      <c r="B5" s="204"/>
      <c r="C5" s="205"/>
      <c r="D5" s="6"/>
      <c r="E5" s="317" t="str">
        <f>'1. Résumé'!E6</f>
        <v>FKT 09/12 Manometinay</v>
      </c>
      <c r="F5" s="197"/>
      <c r="G5" s="197"/>
      <c r="H5" s="198"/>
      <c r="I5" s="7"/>
      <c r="J5" s="237" t="str">
        <f>'1. Résumé'!G8</f>
        <v>Pays : Madagascar</v>
      </c>
      <c r="K5" s="198"/>
      <c r="L5" s="237"/>
      <c r="M5" s="197"/>
      <c r="N5" s="197"/>
      <c r="O5" s="198"/>
      <c r="P5" s="7"/>
      <c r="Q5" s="7"/>
      <c r="R5" s="3"/>
      <c r="S5" s="3"/>
      <c r="T5" s="3"/>
      <c r="U5" s="3"/>
      <c r="V5" s="3"/>
      <c r="W5" s="3"/>
      <c r="X5" s="3"/>
      <c r="Y5" s="3"/>
      <c r="Z5" s="3"/>
    </row>
    <row r="6" spans="1:26" ht="9.75" customHeight="1" x14ac:dyDescent="0.3">
      <c r="A6" s="206"/>
      <c r="B6" s="207"/>
      <c r="C6" s="208"/>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1" t="s">
        <v>169</v>
      </c>
      <c r="B8" s="197"/>
      <c r="C8" s="197"/>
      <c r="D8" s="197"/>
      <c r="E8" s="197"/>
      <c r="F8" s="197"/>
      <c r="G8" s="197"/>
      <c r="H8" s="197"/>
      <c r="I8" s="197"/>
      <c r="J8" s="197"/>
      <c r="K8" s="197"/>
      <c r="L8" s="197"/>
      <c r="M8" s="197"/>
      <c r="N8" s="197"/>
      <c r="O8" s="197"/>
      <c r="P8" s="197"/>
      <c r="Q8" s="198"/>
      <c r="R8" s="3"/>
      <c r="S8" s="3"/>
      <c r="T8" s="3"/>
      <c r="U8" s="3" t="s">
        <v>13</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318" t="s">
        <v>170</v>
      </c>
      <c r="D10" s="197"/>
      <c r="E10" s="197"/>
      <c r="F10" s="197"/>
      <c r="G10" s="197"/>
      <c r="H10" s="197"/>
      <c r="I10" s="197"/>
      <c r="J10" s="197"/>
      <c r="K10" s="197"/>
      <c r="L10" s="197"/>
      <c r="M10" s="197"/>
      <c r="N10" s="197"/>
      <c r="O10" s="198"/>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80" t="s">
        <v>171</v>
      </c>
      <c r="D12" s="340"/>
      <c r="E12" s="341"/>
      <c r="F12" s="29"/>
      <c r="G12" s="52" t="s">
        <v>17</v>
      </c>
      <c r="H12" s="121"/>
      <c r="I12" s="121"/>
      <c r="J12" s="52" t="s">
        <v>172</v>
      </c>
      <c r="K12" s="29"/>
      <c r="L12" s="143" t="s">
        <v>173</v>
      </c>
      <c r="M12" s="144"/>
      <c r="N12" s="52" t="s">
        <v>174</v>
      </c>
      <c r="O12" s="144"/>
      <c r="P12" s="3"/>
      <c r="Q12" s="4"/>
      <c r="R12" s="3"/>
      <c r="S12" s="3"/>
      <c r="T12" s="3"/>
      <c r="U12" s="3"/>
      <c r="V12" s="3"/>
      <c r="W12" s="3"/>
      <c r="X12" s="3"/>
      <c r="Y12" s="3"/>
      <c r="Z12" s="3"/>
    </row>
    <row r="13" spans="1:26" ht="15.75" customHeight="1" thickBot="1" x14ac:dyDescent="0.35">
      <c r="A13" s="4"/>
      <c r="B13" s="3"/>
      <c r="C13" s="381"/>
      <c r="D13" s="207"/>
      <c r="E13" s="382"/>
      <c r="F13" s="29"/>
      <c r="G13" s="145" t="s">
        <v>13</v>
      </c>
      <c r="H13" s="121"/>
      <c r="I13" s="121"/>
      <c r="J13" s="145" t="s">
        <v>175</v>
      </c>
      <c r="K13" s="29"/>
      <c r="L13" s="146" t="s">
        <v>176</v>
      </c>
      <c r="M13" s="144"/>
      <c r="N13" s="145"/>
      <c r="O13" s="144"/>
      <c r="P13" s="3"/>
      <c r="Q13" s="4"/>
      <c r="R13" s="3"/>
      <c r="S13" s="3"/>
      <c r="T13" s="3"/>
      <c r="U13" s="3"/>
      <c r="V13" s="3"/>
      <c r="W13" s="3"/>
      <c r="X13" s="3"/>
      <c r="Y13" s="3"/>
      <c r="Z13" s="3"/>
    </row>
    <row r="14" spans="1:26" ht="49.5" customHeight="1" thickBot="1" x14ac:dyDescent="0.35">
      <c r="A14" s="4"/>
      <c r="B14" s="3"/>
      <c r="C14" s="389" t="s">
        <v>263</v>
      </c>
      <c r="D14" s="390"/>
      <c r="E14" s="391"/>
      <c r="F14" s="93"/>
      <c r="G14" s="147" t="s">
        <v>177</v>
      </c>
      <c r="H14" s="148"/>
      <c r="I14" s="148"/>
      <c r="J14" s="149" t="s">
        <v>241</v>
      </c>
      <c r="K14" s="93"/>
      <c r="L14" s="187" t="s">
        <v>293</v>
      </c>
      <c r="M14" s="185"/>
      <c r="N14" s="181" t="s">
        <v>210</v>
      </c>
      <c r="O14" s="185"/>
      <c r="P14" s="186"/>
      <c r="Q14" s="4"/>
      <c r="R14" s="3"/>
      <c r="S14" s="3"/>
      <c r="T14" s="3"/>
      <c r="U14" s="3"/>
      <c r="V14" s="3"/>
      <c r="W14" s="3"/>
      <c r="X14" s="3"/>
      <c r="Y14" s="3"/>
      <c r="Z14" s="3"/>
    </row>
    <row r="15" spans="1:26" ht="49.5" customHeight="1" x14ac:dyDescent="0.3">
      <c r="A15" s="4"/>
      <c r="B15" s="3"/>
      <c r="C15" s="392" t="s">
        <v>91</v>
      </c>
      <c r="D15" s="390"/>
      <c r="E15" s="391"/>
      <c r="F15" s="93"/>
      <c r="G15" s="153" t="s">
        <v>20</v>
      </c>
      <c r="H15" s="148"/>
      <c r="I15" s="148"/>
      <c r="J15" s="154" t="s">
        <v>311</v>
      </c>
      <c r="K15" s="93"/>
      <c r="L15" s="182" t="s">
        <v>312</v>
      </c>
      <c r="M15" s="151"/>
      <c r="N15" s="183" t="s">
        <v>233</v>
      </c>
      <c r="O15" s="151"/>
      <c r="P15" s="3"/>
      <c r="Q15" s="4"/>
      <c r="R15" s="3"/>
      <c r="S15" s="3"/>
      <c r="T15" s="3"/>
      <c r="U15" s="3"/>
      <c r="V15" s="3"/>
      <c r="W15" s="3"/>
      <c r="X15" s="3"/>
      <c r="Y15" s="3"/>
      <c r="Z15" s="3"/>
    </row>
    <row r="16" spans="1:26" ht="49.5" customHeight="1" thickBot="1" x14ac:dyDescent="0.35">
      <c r="A16" s="4"/>
      <c r="B16" s="3"/>
      <c r="C16" s="386" t="s">
        <v>83</v>
      </c>
      <c r="D16" s="384"/>
      <c r="E16" s="385"/>
      <c r="F16" s="93"/>
      <c r="G16" s="157" t="s">
        <v>177</v>
      </c>
      <c r="H16" s="148"/>
      <c r="I16" s="148"/>
      <c r="J16" s="154" t="s">
        <v>241</v>
      </c>
      <c r="K16" s="194"/>
      <c r="L16" s="187" t="s">
        <v>293</v>
      </c>
      <c r="M16" s="194"/>
      <c r="N16" s="194"/>
      <c r="O16" s="195"/>
      <c r="P16" s="3"/>
      <c r="Q16" s="4"/>
      <c r="R16" s="3"/>
      <c r="S16" s="3"/>
      <c r="T16" s="3"/>
      <c r="U16" s="3"/>
      <c r="V16" s="3"/>
      <c r="W16" s="3"/>
      <c r="X16" s="3"/>
      <c r="Y16" s="3"/>
      <c r="Z16" s="3"/>
    </row>
    <row r="17" spans="1:26" ht="49.5" customHeight="1" x14ac:dyDescent="0.3">
      <c r="A17" s="4"/>
      <c r="B17" s="3"/>
      <c r="C17" s="393" t="s">
        <v>264</v>
      </c>
      <c r="D17" s="384"/>
      <c r="E17" s="385"/>
      <c r="F17" s="93"/>
      <c r="G17" s="153" t="s">
        <v>112</v>
      </c>
      <c r="H17" s="148"/>
      <c r="I17" s="148"/>
      <c r="J17" s="154" t="s">
        <v>298</v>
      </c>
      <c r="K17" s="93"/>
      <c r="L17" s="155" t="s">
        <v>287</v>
      </c>
      <c r="M17" s="151"/>
      <c r="N17" s="156"/>
      <c r="O17" s="151"/>
      <c r="P17" s="3"/>
      <c r="Q17" s="4"/>
      <c r="R17" s="3"/>
      <c r="S17" s="3"/>
      <c r="T17" s="3"/>
      <c r="U17" s="3"/>
      <c r="V17" s="3"/>
      <c r="W17" s="3"/>
      <c r="X17" s="3"/>
      <c r="Y17" s="3"/>
      <c r="Z17" s="3"/>
    </row>
    <row r="18" spans="1:26" ht="49.5" customHeight="1" x14ac:dyDescent="0.3">
      <c r="A18" s="4"/>
      <c r="B18" s="3"/>
      <c r="C18" s="386" t="s">
        <v>13</v>
      </c>
      <c r="D18" s="384"/>
      <c r="E18" s="385"/>
      <c r="F18" s="93"/>
      <c r="G18" s="157"/>
      <c r="H18" s="148"/>
      <c r="I18" s="148"/>
      <c r="J18" s="149"/>
      <c r="K18" s="93"/>
      <c r="L18" s="150"/>
      <c r="M18" s="151"/>
      <c r="N18" s="152"/>
      <c r="O18" s="151"/>
      <c r="P18" s="3"/>
      <c r="Q18" s="4"/>
      <c r="R18" s="3"/>
      <c r="S18" s="3"/>
      <c r="T18" s="3"/>
      <c r="U18" s="3"/>
      <c r="V18" s="3"/>
      <c r="W18" s="3"/>
      <c r="X18" s="3"/>
      <c r="Y18" s="3"/>
      <c r="Z18" s="3"/>
    </row>
    <row r="19" spans="1:26" ht="49.5" customHeight="1" x14ac:dyDescent="0.3">
      <c r="A19" s="4"/>
      <c r="B19" s="3"/>
      <c r="C19" s="393" t="s">
        <v>13</v>
      </c>
      <c r="D19" s="384"/>
      <c r="E19" s="385"/>
      <c r="F19" s="93"/>
      <c r="G19" s="153"/>
      <c r="H19" s="148"/>
      <c r="I19" s="148"/>
      <c r="J19" s="154"/>
      <c r="K19" s="93"/>
      <c r="L19" s="155"/>
      <c r="M19" s="151"/>
      <c r="N19" s="156"/>
      <c r="O19" s="151"/>
      <c r="P19" s="3"/>
      <c r="Q19" s="4"/>
      <c r="R19" s="3"/>
      <c r="S19" s="3"/>
      <c r="T19" s="3"/>
      <c r="U19" s="3"/>
      <c r="V19" s="3"/>
      <c r="W19" s="3"/>
      <c r="X19" s="3"/>
      <c r="Y19" s="3"/>
      <c r="Z19" s="3"/>
    </row>
    <row r="20" spans="1:26" ht="49.5" customHeight="1" x14ac:dyDescent="0.3">
      <c r="A20" s="4"/>
      <c r="B20" s="3"/>
      <c r="C20" s="394" t="s">
        <v>13</v>
      </c>
      <c r="D20" s="384"/>
      <c r="E20" s="385"/>
      <c r="F20" s="93"/>
      <c r="G20" s="149"/>
      <c r="H20" s="148"/>
      <c r="I20" s="148"/>
      <c r="J20" s="149"/>
      <c r="K20" s="93"/>
      <c r="L20" s="150"/>
      <c r="M20" s="151"/>
      <c r="N20" s="152"/>
      <c r="O20" s="151"/>
      <c r="P20" s="3"/>
      <c r="Q20" s="4"/>
      <c r="R20" s="3"/>
      <c r="S20" s="3"/>
      <c r="T20" s="3"/>
      <c r="U20" s="3"/>
      <c r="V20" s="3"/>
      <c r="W20" s="3"/>
      <c r="X20" s="3"/>
      <c r="Y20" s="3"/>
      <c r="Z20" s="3"/>
    </row>
    <row r="21" spans="1:26" ht="49.5" customHeight="1" x14ac:dyDescent="0.3">
      <c r="A21" s="4"/>
      <c r="B21" s="3"/>
      <c r="C21" s="383"/>
      <c r="D21" s="384"/>
      <c r="E21" s="385"/>
      <c r="F21" s="93"/>
      <c r="G21" s="154"/>
      <c r="H21" s="148"/>
      <c r="I21" s="148"/>
      <c r="J21" s="154"/>
      <c r="K21" s="93"/>
      <c r="L21" s="155"/>
      <c r="M21" s="151"/>
      <c r="N21" s="156"/>
      <c r="O21" s="151"/>
      <c r="P21" s="3"/>
      <c r="Q21" s="4"/>
      <c r="R21" s="3"/>
      <c r="S21" s="3"/>
      <c r="T21" s="3"/>
      <c r="U21" s="3"/>
      <c r="V21" s="3"/>
      <c r="W21" s="3"/>
      <c r="X21" s="3"/>
      <c r="Y21" s="3"/>
      <c r="Z21" s="3"/>
    </row>
    <row r="22" spans="1:26" ht="49.5" customHeight="1" x14ac:dyDescent="0.3">
      <c r="A22" s="4"/>
      <c r="B22" s="3"/>
      <c r="C22" s="386" t="s">
        <v>13</v>
      </c>
      <c r="D22" s="384"/>
      <c r="E22" s="385"/>
      <c r="F22" s="93"/>
      <c r="G22" s="149"/>
      <c r="H22" s="148"/>
      <c r="I22" s="148"/>
      <c r="J22" s="149"/>
      <c r="K22" s="93"/>
      <c r="L22" s="150"/>
      <c r="M22" s="151"/>
      <c r="N22" s="152"/>
      <c r="O22" s="151"/>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87"/>
      <c r="D25" s="204"/>
      <c r="E25" s="204"/>
      <c r="F25" s="3"/>
      <c r="G25" s="388"/>
      <c r="H25" s="204"/>
      <c r="I25" s="204"/>
      <c r="J25" s="204"/>
      <c r="K25" s="3"/>
      <c r="L25" s="112"/>
      <c r="M25" s="112"/>
      <c r="N25" s="158"/>
      <c r="O25" s="112"/>
      <c r="P25" s="3"/>
      <c r="Q25" s="3"/>
      <c r="R25" s="3"/>
      <c r="S25" s="3"/>
      <c r="T25" s="3"/>
      <c r="U25" s="3"/>
      <c r="V25" s="3"/>
      <c r="W25" s="3"/>
      <c r="X25" s="3"/>
      <c r="Y25" s="3"/>
      <c r="Z25" s="3"/>
    </row>
    <row r="26" spans="1:26" ht="39.75" customHeight="1" x14ac:dyDescent="0.3">
      <c r="A26" s="271" t="s">
        <v>178</v>
      </c>
      <c r="B26" s="197"/>
      <c r="C26" s="197"/>
      <c r="D26" s="197"/>
      <c r="E26" s="197"/>
      <c r="F26" s="197"/>
      <c r="G26" s="197"/>
      <c r="H26" s="197"/>
      <c r="I26" s="197"/>
      <c r="J26" s="197"/>
      <c r="K26" s="197"/>
      <c r="L26" s="197"/>
      <c r="M26" s="197"/>
      <c r="N26" s="197"/>
      <c r="O26" s="197"/>
      <c r="P26" s="197"/>
      <c r="Q26" s="198"/>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22" t="s">
        <v>179</v>
      </c>
      <c r="D28" s="197"/>
      <c r="E28" s="197"/>
      <c r="F28" s="197"/>
      <c r="G28" s="197"/>
      <c r="H28" s="197"/>
      <c r="I28" s="197"/>
      <c r="J28" s="197"/>
      <c r="K28" s="197"/>
      <c r="L28" s="197"/>
      <c r="M28" s="197"/>
      <c r="N28" s="197"/>
      <c r="O28" s="198"/>
      <c r="P28" s="69"/>
      <c r="Q28" s="68"/>
      <c r="R28" s="3"/>
      <c r="S28" s="3"/>
      <c r="T28" s="3"/>
      <c r="U28" s="3"/>
      <c r="V28" s="3"/>
      <c r="W28" s="3"/>
      <c r="X28" s="3"/>
      <c r="Y28" s="3"/>
      <c r="Z28" s="3"/>
    </row>
    <row r="29" spans="1:26" ht="9.75" customHeight="1" x14ac:dyDescent="0.3">
      <c r="A29" s="4"/>
      <c r="B29" s="3"/>
      <c r="C29" s="3" t="s">
        <v>13</v>
      </c>
      <c r="D29" s="3"/>
      <c r="E29" s="3"/>
      <c r="F29" s="3"/>
      <c r="G29" s="3"/>
      <c r="H29" s="3" t="s">
        <v>13</v>
      </c>
      <c r="I29" s="3"/>
      <c r="J29" s="3"/>
      <c r="K29" s="3"/>
      <c r="L29" s="3"/>
      <c r="M29" s="3"/>
      <c r="N29" s="3"/>
      <c r="O29" s="3"/>
      <c r="P29" s="3"/>
      <c r="Q29" s="4"/>
      <c r="R29" s="3"/>
      <c r="S29" s="3"/>
      <c r="T29" s="3"/>
      <c r="U29" s="3"/>
      <c r="V29" s="3"/>
      <c r="W29" s="3"/>
      <c r="X29" s="3"/>
      <c r="Y29" s="3"/>
      <c r="Z29" s="3"/>
    </row>
    <row r="30" spans="1:26" ht="300" customHeight="1" x14ac:dyDescent="0.3">
      <c r="A30" s="4"/>
      <c r="B30" s="3"/>
      <c r="C30" s="241" t="s">
        <v>250</v>
      </c>
      <c r="D30" s="263"/>
      <c r="E30" s="263"/>
      <c r="F30" s="263"/>
      <c r="G30" s="263"/>
      <c r="H30" s="263"/>
      <c r="I30" s="263"/>
      <c r="J30" s="263"/>
      <c r="K30" s="263"/>
      <c r="L30" s="263"/>
      <c r="M30" s="263"/>
      <c r="N30" s="263"/>
      <c r="O30" s="358"/>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13</v>
      </c>
      <c r="E33" s="3"/>
      <c r="F33" s="3"/>
      <c r="G33" s="65" t="s">
        <v>180</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13</v>
      </c>
      <c r="D34" s="102" t="s">
        <v>13</v>
      </c>
      <c r="E34" s="3"/>
      <c r="F34" s="3"/>
      <c r="G34" s="159" t="s">
        <v>177</v>
      </c>
      <c r="H34" s="3"/>
      <c r="I34" s="160"/>
      <c r="J34" s="160"/>
      <c r="K34" s="3"/>
      <c r="L34" s="3"/>
      <c r="M34" s="3"/>
      <c r="N34" s="3"/>
      <c r="O34" s="3"/>
      <c r="P34" s="3"/>
      <c r="Q34" s="3"/>
      <c r="R34" s="3"/>
      <c r="S34" s="3"/>
      <c r="T34" s="3"/>
      <c r="U34" s="3"/>
      <c r="V34" s="3"/>
      <c r="W34" s="3"/>
      <c r="X34" s="3"/>
      <c r="Y34" s="3"/>
      <c r="Z34" s="3"/>
    </row>
    <row r="35" spans="1:26" ht="12.75" customHeight="1" x14ac:dyDescent="0.3">
      <c r="A35" s="3"/>
      <c r="B35" s="3"/>
      <c r="C35" s="3" t="s">
        <v>13</v>
      </c>
      <c r="D35" s="102" t="s">
        <v>13</v>
      </c>
      <c r="E35" s="3"/>
      <c r="F35" s="3"/>
      <c r="G35" s="159" t="s">
        <v>20</v>
      </c>
      <c r="H35" s="3"/>
      <c r="I35" s="160"/>
      <c r="J35" s="160"/>
      <c r="K35" s="3"/>
      <c r="L35" s="3"/>
      <c r="M35" s="3"/>
      <c r="N35" s="3"/>
      <c r="O35" s="3"/>
      <c r="P35" s="3"/>
      <c r="Q35" s="3"/>
      <c r="R35" s="3"/>
      <c r="S35" s="3"/>
      <c r="T35" s="3"/>
      <c r="U35" s="3"/>
      <c r="V35" s="3"/>
      <c r="W35" s="3"/>
      <c r="X35" s="3"/>
      <c r="Y35" s="3"/>
      <c r="Z35" s="3"/>
    </row>
    <row r="36" spans="1:26" ht="12.75" customHeight="1" x14ac:dyDescent="0.3">
      <c r="A36" s="3"/>
      <c r="B36" s="3"/>
      <c r="C36" s="3" t="s">
        <v>13</v>
      </c>
      <c r="D36" s="102" t="s">
        <v>13</v>
      </c>
      <c r="E36" s="3"/>
      <c r="F36" s="3"/>
      <c r="G36" s="159" t="s">
        <v>21</v>
      </c>
      <c r="H36" s="3"/>
      <c r="I36" s="160"/>
      <c r="J36" s="160"/>
      <c r="K36" s="3"/>
      <c r="L36" s="3"/>
      <c r="M36" s="3"/>
      <c r="N36" s="3"/>
      <c r="O36" s="3"/>
      <c r="P36" s="3"/>
      <c r="Q36" s="3"/>
      <c r="R36" s="3"/>
      <c r="S36" s="3"/>
      <c r="T36" s="3"/>
      <c r="U36" s="3"/>
      <c r="V36" s="3"/>
      <c r="W36" s="3"/>
      <c r="X36" s="3"/>
      <c r="Y36" s="3"/>
      <c r="Z36" s="3"/>
    </row>
    <row r="37" spans="1:26" ht="12.75" customHeight="1" x14ac:dyDescent="0.3">
      <c r="A37" s="3"/>
      <c r="B37" s="3"/>
      <c r="C37" s="3" t="s">
        <v>13</v>
      </c>
      <c r="D37" s="102" t="s">
        <v>13</v>
      </c>
      <c r="E37" s="3"/>
      <c r="F37" s="3"/>
      <c r="G37" s="159" t="s">
        <v>22</v>
      </c>
      <c r="H37" s="3"/>
      <c r="I37" s="160"/>
      <c r="J37" s="160"/>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59" t="s">
        <v>23</v>
      </c>
      <c r="H38" s="3"/>
      <c r="I38" s="160"/>
      <c r="J38" s="160"/>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59" t="s">
        <v>112</v>
      </c>
      <c r="H39" s="3"/>
      <c r="I39" s="160"/>
      <c r="J39" s="160"/>
      <c r="K39" s="3"/>
      <c r="L39" s="3"/>
      <c r="M39" s="3"/>
      <c r="N39" s="3"/>
      <c r="O39" s="3"/>
      <c r="P39" s="3"/>
      <c r="Q39" s="3"/>
      <c r="R39" s="3"/>
      <c r="S39" s="3"/>
      <c r="T39" s="3"/>
      <c r="U39" s="3"/>
      <c r="V39" s="3"/>
      <c r="W39" s="3"/>
      <c r="X39" s="3"/>
      <c r="Y39" s="3"/>
      <c r="Z39" s="3"/>
    </row>
    <row r="40" spans="1:26" ht="12.75" customHeight="1" x14ac:dyDescent="0.3">
      <c r="A40" s="3"/>
      <c r="B40" s="3"/>
      <c r="C40" s="103" t="s">
        <v>13</v>
      </c>
      <c r="D40" s="3"/>
      <c r="E40" s="3"/>
      <c r="F40" s="3"/>
      <c r="G40" s="159" t="s">
        <v>181</v>
      </c>
      <c r="H40" s="3"/>
      <c r="I40" s="160"/>
      <c r="J40" s="160"/>
      <c r="K40" s="3"/>
      <c r="L40" s="3"/>
      <c r="M40" s="3"/>
      <c r="N40" s="3"/>
      <c r="O40" s="3"/>
      <c r="P40" s="3"/>
      <c r="Q40" s="3"/>
      <c r="R40" s="3"/>
      <c r="S40" s="3"/>
      <c r="T40" s="3"/>
      <c r="U40" s="3"/>
      <c r="V40" s="3"/>
      <c r="W40" s="3"/>
      <c r="X40" s="3"/>
      <c r="Y40" s="3"/>
      <c r="Z40" s="3"/>
    </row>
    <row r="41" spans="1:26" ht="12.75" customHeight="1" x14ac:dyDescent="0.3">
      <c r="A41" s="3"/>
      <c r="B41" s="3"/>
      <c r="C41" s="3" t="s">
        <v>13</v>
      </c>
      <c r="D41" s="3"/>
      <c r="E41" s="3"/>
      <c r="F41" s="3"/>
      <c r="G41" s="159" t="s">
        <v>114</v>
      </c>
      <c r="H41" s="3"/>
      <c r="I41" s="160"/>
      <c r="J41" s="160"/>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59" t="s">
        <v>182</v>
      </c>
      <c r="H42" s="3"/>
      <c r="I42" s="160"/>
      <c r="J42" s="160"/>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59" t="s">
        <v>162</v>
      </c>
      <c r="H43" s="3"/>
      <c r="I43" s="160"/>
      <c r="J43" s="160"/>
      <c r="K43" s="3"/>
      <c r="L43" s="3"/>
      <c r="M43" s="3"/>
      <c r="N43" s="3"/>
      <c r="O43" s="3"/>
      <c r="P43" s="3"/>
      <c r="Q43" s="3"/>
      <c r="R43" s="3"/>
      <c r="S43" s="3"/>
      <c r="T43" s="3"/>
      <c r="U43" s="3"/>
      <c r="V43" s="3"/>
      <c r="W43" s="3"/>
      <c r="X43" s="3"/>
      <c r="Y43" s="3"/>
      <c r="Z43" s="3"/>
    </row>
    <row r="44" spans="1:26" ht="12.75" customHeight="1" x14ac:dyDescent="0.3">
      <c r="A44" s="3"/>
      <c r="B44" s="3"/>
      <c r="C44" s="3" t="s">
        <v>13</v>
      </c>
      <c r="D44" s="3"/>
      <c r="E44" s="3"/>
      <c r="F44" s="3"/>
      <c r="G44" s="159" t="s">
        <v>29</v>
      </c>
      <c r="H44" s="3"/>
      <c r="I44" s="160"/>
      <c r="J44" s="160"/>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0"/>
      <c r="J45" s="160"/>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0"/>
      <c r="J46" s="160"/>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0"/>
      <c r="J47" s="160"/>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0"/>
      <c r="J48" s="160"/>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26:Q26"/>
    <mergeCell ref="C28:O28"/>
    <mergeCell ref="C30:O30"/>
    <mergeCell ref="C14:E14"/>
    <mergeCell ref="C15:E15"/>
    <mergeCell ref="C16:E16"/>
    <mergeCell ref="C17:E17"/>
    <mergeCell ref="C18:E18"/>
    <mergeCell ref="C19:E19"/>
    <mergeCell ref="C20:E20"/>
    <mergeCell ref="C10:O10"/>
    <mergeCell ref="C12:E13"/>
    <mergeCell ref="C21:E21"/>
    <mergeCell ref="C22:E22"/>
    <mergeCell ref="C25:E25"/>
    <mergeCell ref="G25:J25"/>
    <mergeCell ref="A4:C6"/>
    <mergeCell ref="E5:H5"/>
    <mergeCell ref="J5:K5"/>
    <mergeCell ref="L5:O5"/>
    <mergeCell ref="A8:Q8"/>
  </mergeCells>
  <dataValidations count="3">
    <dataValidation type="list" allowBlank="1" showErrorMessage="1" sqref="M17:M22 O25 L25:M25 M15 O15 O17:O22"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r:id="rId1"/>
  <headerFooter>
    <oddFooter>&amp;L000000_x000D_#000000Public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topLeftCell="D16" zoomScale="75" zoomScaleNormal="75" workbookViewId="0">
      <selection activeCell="E17" sqref="E17"/>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2" t="s">
        <v>183</v>
      </c>
      <c r="B1" s="142"/>
      <c r="C1" s="142"/>
      <c r="D1" s="142"/>
      <c r="E1" s="142"/>
      <c r="F1" s="142"/>
      <c r="G1" s="142"/>
      <c r="H1" s="142"/>
      <c r="I1" s="142"/>
      <c r="J1" s="142"/>
      <c r="K1" s="142"/>
      <c r="L1" s="142"/>
      <c r="M1" s="142"/>
      <c r="N1" s="142"/>
      <c r="O1" s="142"/>
      <c r="P1" s="142"/>
      <c r="Q1" s="142"/>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1" t="s">
        <v>13</v>
      </c>
      <c r="B3" s="396"/>
      <c r="C3" s="201"/>
      <c r="D3" s="202"/>
      <c r="E3" s="6"/>
      <c r="F3" s="6"/>
      <c r="G3" s="7"/>
      <c r="H3" s="7"/>
      <c r="I3" s="7"/>
      <c r="J3" s="7"/>
      <c r="K3" s="7"/>
      <c r="L3" s="7"/>
      <c r="M3" s="7"/>
      <c r="N3" s="7"/>
      <c r="O3" s="7"/>
      <c r="P3" s="3"/>
      <c r="Q3" s="3"/>
      <c r="R3" s="3"/>
      <c r="S3" s="3"/>
      <c r="T3" s="3"/>
      <c r="U3" s="3"/>
      <c r="V3" s="3"/>
      <c r="W3" s="3"/>
      <c r="X3" s="3"/>
      <c r="Y3" s="3"/>
      <c r="Z3" s="3"/>
    </row>
    <row r="4" spans="1:26" ht="31.5" customHeight="1" x14ac:dyDescent="0.3">
      <c r="A4" s="161"/>
      <c r="B4" s="203"/>
      <c r="C4" s="204"/>
      <c r="D4" s="205"/>
      <c r="E4" s="317" t="str">
        <f>'1. Résumé'!E6</f>
        <v>FKT 09/12 Manometinay</v>
      </c>
      <c r="F4" s="197"/>
      <c r="G4" s="198"/>
      <c r="H4" s="162"/>
      <c r="I4" s="317" t="str">
        <f>'1. Résumé'!E10</f>
        <v>Société nationale : Croix-Rouge Malagasy</v>
      </c>
      <c r="J4" s="197"/>
      <c r="K4" s="198"/>
      <c r="L4" s="162"/>
      <c r="M4" s="162"/>
      <c r="N4" s="7"/>
      <c r="O4" s="7"/>
      <c r="P4" s="3"/>
      <c r="Q4" s="3"/>
      <c r="R4" s="3"/>
      <c r="S4" s="3"/>
      <c r="T4" s="3"/>
      <c r="U4" s="3"/>
      <c r="V4" s="3"/>
      <c r="W4" s="3"/>
      <c r="X4" s="3"/>
      <c r="Y4" s="3"/>
      <c r="Z4" s="3"/>
    </row>
    <row r="5" spans="1:26" ht="9.75" customHeight="1" x14ac:dyDescent="0.3">
      <c r="A5" s="161"/>
      <c r="B5" s="206"/>
      <c r="C5" s="207"/>
      <c r="D5" s="208"/>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71" t="s">
        <v>184</v>
      </c>
      <c r="B7" s="197"/>
      <c r="C7" s="197"/>
      <c r="D7" s="197"/>
      <c r="E7" s="197"/>
      <c r="F7" s="197"/>
      <c r="G7" s="197"/>
      <c r="H7" s="197"/>
      <c r="I7" s="197"/>
      <c r="J7" s="197"/>
      <c r="K7" s="197"/>
      <c r="L7" s="197"/>
      <c r="M7" s="197"/>
      <c r="N7" s="197"/>
      <c r="O7" s="197"/>
      <c r="P7" s="197"/>
      <c r="Q7" s="198"/>
      <c r="R7" s="3"/>
      <c r="S7" s="3"/>
      <c r="T7" s="3"/>
      <c r="U7" s="3" t="s">
        <v>13</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318" t="s">
        <v>185</v>
      </c>
      <c r="D9" s="197"/>
      <c r="E9" s="197"/>
      <c r="F9" s="197"/>
      <c r="G9" s="197"/>
      <c r="H9" s="197"/>
      <c r="I9" s="197"/>
      <c r="J9" s="197"/>
      <c r="K9" s="197"/>
      <c r="L9" s="197"/>
      <c r="M9" s="197"/>
      <c r="N9" s="197"/>
      <c r="O9" s="198"/>
      <c r="P9" s="69"/>
      <c r="Q9" s="68"/>
      <c r="R9" s="3"/>
      <c r="S9" s="3"/>
      <c r="T9" s="3"/>
      <c r="U9" s="3"/>
      <c r="V9" s="3"/>
      <c r="W9" s="3"/>
      <c r="X9" s="3"/>
      <c r="Y9" s="3"/>
      <c r="Z9" s="3"/>
    </row>
    <row r="10" spans="1:26" ht="55.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103.5" customHeight="1" x14ac:dyDescent="0.3">
      <c r="A11" s="4"/>
      <c r="B11" s="3"/>
      <c r="C11" s="163" t="s">
        <v>186</v>
      </c>
      <c r="D11" s="3"/>
      <c r="E11" s="163" t="s">
        <v>187</v>
      </c>
      <c r="F11" s="3"/>
      <c r="G11" s="163" t="s">
        <v>188</v>
      </c>
      <c r="H11" s="3"/>
      <c r="I11" s="163" t="s">
        <v>189</v>
      </c>
      <c r="J11" s="3"/>
      <c r="K11" s="163" t="s">
        <v>190</v>
      </c>
      <c r="L11" s="3"/>
      <c r="M11" s="163" t="s">
        <v>191</v>
      </c>
      <c r="N11" s="3"/>
      <c r="O11" s="163" t="s">
        <v>192</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131.25" customHeight="1" x14ac:dyDescent="0.3">
      <c r="A13" s="4"/>
      <c r="B13" s="3"/>
      <c r="C13" s="188" t="s">
        <v>264</v>
      </c>
      <c r="D13" s="189"/>
      <c r="E13" s="190" t="s">
        <v>231</v>
      </c>
      <c r="F13" s="189"/>
      <c r="G13" s="190" t="s">
        <v>306</v>
      </c>
      <c r="H13" s="189"/>
      <c r="I13" s="190" t="s">
        <v>254</v>
      </c>
      <c r="J13" s="189"/>
      <c r="K13" s="190" t="s">
        <v>252</v>
      </c>
      <c r="L13" s="189"/>
      <c r="M13" s="190" t="s">
        <v>310</v>
      </c>
      <c r="N13" s="189"/>
      <c r="O13" s="190" t="s">
        <v>251</v>
      </c>
      <c r="P13" s="3"/>
      <c r="Q13" s="4"/>
      <c r="R13" s="3"/>
      <c r="S13" s="3"/>
      <c r="T13" s="3"/>
      <c r="U13" s="3"/>
      <c r="V13" s="3"/>
      <c r="W13" s="3"/>
      <c r="X13" s="3"/>
      <c r="Y13" s="3"/>
      <c r="Z13" s="3"/>
    </row>
    <row r="14" spans="1:26" ht="61.5" customHeight="1" x14ac:dyDescent="0.3">
      <c r="A14" s="4"/>
      <c r="B14" s="3"/>
      <c r="C14" s="189"/>
      <c r="D14" s="189"/>
      <c r="E14" s="189"/>
      <c r="F14" s="189"/>
      <c r="G14" s="189"/>
      <c r="H14" s="189"/>
      <c r="I14" s="189"/>
      <c r="J14" s="189"/>
      <c r="K14" s="189"/>
      <c r="L14" s="189"/>
      <c r="M14" s="189"/>
      <c r="N14" s="189"/>
      <c r="O14" s="189"/>
      <c r="P14" s="3"/>
      <c r="Q14" s="4"/>
      <c r="R14" s="3"/>
      <c r="S14" s="3"/>
      <c r="T14" s="3"/>
      <c r="U14" s="3"/>
      <c r="V14" s="3"/>
      <c r="W14" s="3"/>
      <c r="X14" s="3"/>
      <c r="Y14" s="3"/>
      <c r="Z14" s="3"/>
    </row>
    <row r="15" spans="1:26" ht="60" customHeight="1" x14ac:dyDescent="0.3">
      <c r="A15" s="4"/>
      <c r="B15" s="3"/>
      <c r="C15" s="188" t="s">
        <v>202</v>
      </c>
      <c r="D15" s="189"/>
      <c r="E15" s="190" t="s">
        <v>253</v>
      </c>
      <c r="F15" s="189"/>
      <c r="G15" s="190" t="s">
        <v>307</v>
      </c>
      <c r="H15" s="189"/>
      <c r="I15" s="190" t="s">
        <v>255</v>
      </c>
      <c r="J15" s="189"/>
      <c r="K15" s="190" t="s">
        <v>256</v>
      </c>
      <c r="L15" s="189"/>
      <c r="M15" s="190" t="s">
        <v>205</v>
      </c>
      <c r="N15" s="189"/>
      <c r="O15" s="190" t="s">
        <v>203</v>
      </c>
      <c r="P15" s="3"/>
      <c r="Q15" s="4"/>
      <c r="R15" s="3"/>
      <c r="S15" s="3"/>
      <c r="T15" s="3"/>
      <c r="U15" s="3"/>
      <c r="V15" s="3"/>
      <c r="W15" s="3"/>
      <c r="X15" s="3"/>
      <c r="Y15" s="3"/>
      <c r="Z15" s="3"/>
    </row>
    <row r="16" spans="1:26" ht="9.75" customHeight="1" x14ac:dyDescent="0.3">
      <c r="A16" s="4"/>
      <c r="B16" s="3"/>
      <c r="C16" s="189"/>
      <c r="D16" s="189"/>
      <c r="E16" s="189"/>
      <c r="F16" s="189"/>
      <c r="G16" s="189"/>
      <c r="H16" s="189"/>
      <c r="I16" s="189"/>
      <c r="J16" s="189"/>
      <c r="K16" s="189"/>
      <c r="L16" s="189"/>
      <c r="M16" s="189"/>
      <c r="N16" s="189"/>
      <c r="O16" s="189"/>
      <c r="P16" s="3"/>
      <c r="Q16" s="4"/>
      <c r="R16" s="3"/>
      <c r="S16" s="3"/>
      <c r="T16" s="3"/>
      <c r="U16" s="3"/>
      <c r="V16" s="3"/>
      <c r="W16" s="3"/>
      <c r="X16" s="3"/>
      <c r="Y16" s="3"/>
      <c r="Z16" s="3"/>
    </row>
    <row r="17" spans="1:26" ht="93.75" customHeight="1" thickBot="1" x14ac:dyDescent="0.35">
      <c r="A17" s="4"/>
      <c r="B17" s="3"/>
      <c r="C17" s="188" t="s">
        <v>263</v>
      </c>
      <c r="D17" s="189"/>
      <c r="E17" s="190" t="s">
        <v>232</v>
      </c>
      <c r="F17" s="189"/>
      <c r="G17" s="190" t="s">
        <v>308</v>
      </c>
      <c r="H17" s="189"/>
      <c r="I17" s="190" t="s">
        <v>229</v>
      </c>
      <c r="J17" s="189"/>
      <c r="K17" s="190" t="s">
        <v>257</v>
      </c>
      <c r="L17" s="189"/>
      <c r="M17" s="190" t="s">
        <v>230</v>
      </c>
      <c r="N17" s="189"/>
      <c r="O17" s="190" t="s">
        <v>204</v>
      </c>
      <c r="P17" s="3"/>
      <c r="Q17" s="4"/>
      <c r="R17" s="3"/>
      <c r="S17" s="3"/>
      <c r="T17" s="3"/>
      <c r="U17" s="3"/>
      <c r="V17" s="3"/>
      <c r="W17" s="3"/>
      <c r="X17" s="3"/>
      <c r="Y17" s="3"/>
      <c r="Z17" s="3"/>
    </row>
    <row r="18" spans="1:26" ht="9.75" customHeight="1" thickBot="1" x14ac:dyDescent="0.35">
      <c r="A18" s="4"/>
      <c r="B18" s="3"/>
      <c r="C18" s="3"/>
      <c r="D18" s="3"/>
      <c r="E18" s="3"/>
      <c r="F18" s="3"/>
      <c r="G18" s="3"/>
      <c r="H18" s="3"/>
      <c r="I18" s="3"/>
      <c r="J18" s="3"/>
      <c r="K18" s="3"/>
      <c r="L18" s="3"/>
      <c r="M18" s="190"/>
      <c r="N18" s="3"/>
      <c r="O18" s="3"/>
      <c r="P18" s="3"/>
      <c r="Q18" s="4"/>
      <c r="R18" s="3"/>
      <c r="S18" s="3"/>
      <c r="T18" s="3"/>
      <c r="U18" s="3"/>
      <c r="V18" s="3"/>
      <c r="W18" s="3"/>
      <c r="X18" s="3"/>
      <c r="Y18" s="3"/>
      <c r="Z18" s="3"/>
    </row>
    <row r="19" spans="1:26" ht="81.75" customHeight="1" thickBot="1" x14ac:dyDescent="0.35">
      <c r="A19" s="4"/>
      <c r="B19" s="3"/>
      <c r="C19" s="188" t="s">
        <v>83</v>
      </c>
      <c r="D19" s="3"/>
      <c r="E19" s="190" t="s">
        <v>232</v>
      </c>
      <c r="F19" s="3"/>
      <c r="G19" s="190" t="s">
        <v>309</v>
      </c>
      <c r="H19" s="3"/>
      <c r="I19" s="190" t="s">
        <v>229</v>
      </c>
      <c r="J19" s="3"/>
      <c r="K19" s="190" t="s">
        <v>257</v>
      </c>
      <c r="L19" s="3"/>
      <c r="M19" s="190" t="s">
        <v>230</v>
      </c>
      <c r="N19" s="3"/>
      <c r="O19" s="190" t="s">
        <v>204</v>
      </c>
      <c r="P19" s="3"/>
      <c r="Q19" s="4"/>
      <c r="R19" s="3"/>
      <c r="S19" s="3"/>
      <c r="T19" s="3"/>
      <c r="U19" s="3"/>
      <c r="V19" s="3"/>
      <c r="W19" s="3"/>
      <c r="X19" s="3"/>
      <c r="Y19" s="3"/>
      <c r="Z19" s="3"/>
    </row>
    <row r="20" spans="1:26" ht="9.75" customHeight="1" thickBot="1" x14ac:dyDescent="0.35">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4"/>
      <c r="D21" s="3"/>
      <c r="E21" s="165"/>
      <c r="F21" s="3"/>
      <c r="G21" s="165"/>
      <c r="H21" s="3"/>
      <c r="I21" s="165"/>
      <c r="J21" s="3"/>
      <c r="K21" s="165"/>
      <c r="L21" s="3"/>
      <c r="M21" s="165"/>
      <c r="N21" s="3"/>
      <c r="O21" s="165"/>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4"/>
      <c r="D23" s="3"/>
      <c r="E23" s="165"/>
      <c r="F23" s="3"/>
      <c r="G23" s="165"/>
      <c r="H23" s="3"/>
      <c r="I23" s="165"/>
      <c r="J23" s="3"/>
      <c r="K23" s="165"/>
      <c r="L23" s="3"/>
      <c r="M23" s="165"/>
      <c r="N23" s="3"/>
      <c r="O23" s="165"/>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4"/>
      <c r="D25" s="3"/>
      <c r="E25" s="165"/>
      <c r="F25" s="3"/>
      <c r="G25" s="165"/>
      <c r="H25" s="3"/>
      <c r="I25" s="165"/>
      <c r="J25" s="3"/>
      <c r="K25" s="165"/>
      <c r="L25" s="3"/>
      <c r="M25" s="165"/>
      <c r="N25" s="3"/>
      <c r="O25" s="165"/>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4"/>
      <c r="D27" s="3"/>
      <c r="E27" s="165"/>
      <c r="F27" s="3"/>
      <c r="G27" s="165"/>
      <c r="H27" s="3"/>
      <c r="I27" s="165"/>
      <c r="J27" s="3"/>
      <c r="K27" s="165"/>
      <c r="L27" s="3"/>
      <c r="M27" s="165"/>
      <c r="N27" s="3"/>
      <c r="O27" s="165"/>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4"/>
      <c r="D29" s="3"/>
      <c r="E29" s="165"/>
      <c r="F29" s="3"/>
      <c r="G29" s="165"/>
      <c r="H29" s="3"/>
      <c r="I29" s="165"/>
      <c r="J29" s="3"/>
      <c r="K29" s="165"/>
      <c r="L29" s="3"/>
      <c r="M29" s="165"/>
      <c r="N29" s="3"/>
      <c r="O29" s="165"/>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4"/>
      <c r="D31" s="3"/>
      <c r="E31" s="165"/>
      <c r="F31" s="3"/>
      <c r="G31" s="165"/>
      <c r="H31" s="3"/>
      <c r="I31" s="165"/>
      <c r="J31" s="3"/>
      <c r="K31" s="165"/>
      <c r="L31" s="3"/>
      <c r="M31" s="165"/>
      <c r="N31" s="3"/>
      <c r="O31" s="165"/>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395" t="s">
        <v>193</v>
      </c>
      <c r="D33" s="197"/>
      <c r="E33" s="197"/>
      <c r="F33" s="197"/>
      <c r="G33" s="197"/>
      <c r="H33" s="197"/>
      <c r="I33" s="197"/>
      <c r="J33" s="197"/>
      <c r="K33" s="197"/>
      <c r="L33" s="197"/>
      <c r="M33" s="197"/>
      <c r="N33" s="197"/>
      <c r="O33" s="198"/>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6" t="s">
        <v>194</v>
      </c>
      <c r="D35" s="166"/>
      <c r="E35" s="166" t="s">
        <v>195</v>
      </c>
      <c r="F35" s="166"/>
      <c r="G35" s="166" t="s">
        <v>196</v>
      </c>
      <c r="H35" s="166"/>
      <c r="I35" s="166" t="s">
        <v>197</v>
      </c>
      <c r="J35" s="166"/>
      <c r="K35" s="3"/>
      <c r="L35" s="3"/>
      <c r="M35" s="3"/>
      <c r="N35" s="3"/>
      <c r="O35" s="3"/>
      <c r="P35" s="3"/>
      <c r="Q35" s="4"/>
      <c r="R35" s="3"/>
      <c r="S35" s="3"/>
      <c r="T35" s="3"/>
      <c r="U35" s="3"/>
      <c r="V35" s="3"/>
      <c r="W35" s="3"/>
      <c r="X35" s="3"/>
      <c r="Y35" s="3"/>
      <c r="Z35" s="3"/>
    </row>
    <row r="36" spans="1:26" ht="39.75" customHeight="1" x14ac:dyDescent="0.3">
      <c r="A36" s="4"/>
      <c r="B36" s="3"/>
      <c r="C36" s="164"/>
      <c r="D36" s="3"/>
      <c r="E36" s="164" t="s">
        <v>212</v>
      </c>
      <c r="F36" s="3"/>
      <c r="G36" s="164"/>
      <c r="H36" s="3"/>
      <c r="I36" s="164" t="s">
        <v>211</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orientation="portrait"/>
  <headerFooter>
    <oddFooter>&amp;L000000_x000D_#000000Public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E286-B9FE-44EE-B9F8-6A515E6DCF40}">
  <dimension ref="A1"/>
  <sheetViews>
    <sheetView workbookViewId="0"/>
  </sheetViews>
  <sheetFormatPr baseColWidth="10"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vt:i4>
      </vt:variant>
    </vt:vector>
  </HeadingPairs>
  <TitlesOfParts>
    <vt:vector size="12" baseType="lpstr">
      <vt:lpstr>COMMENCEZ ICI</vt:lpstr>
      <vt:lpstr>1. Résumé</vt:lpstr>
      <vt:lpstr>2. Contexte</vt:lpstr>
      <vt:lpstr>3. Dangers</vt:lpstr>
      <vt:lpstr>4. Vulnérabilité</vt:lpstr>
      <vt:lpstr>5. Capacité</vt:lpstr>
      <vt:lpstr>6. Cohésion, Inclusion, Connect</vt:lpstr>
      <vt:lpstr>7. Risque</vt:lpstr>
      <vt:lpstr>8. Analyse</vt:lpstr>
      <vt:lpstr>9. Plan d’action</vt:lpstr>
      <vt:lpstr>Feuil1</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2025-07-04T09:11:05Z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