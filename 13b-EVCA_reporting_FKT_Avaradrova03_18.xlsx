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User\Desktop\Nouveau dossier\pmer DOC JC\RAPPORT EVCA\RAPPORT EVCA par FKT\"/>
    </mc:Choice>
  </mc:AlternateContent>
  <xr:revisionPtr revIDLastSave="0" documentId="13_ncr:1_{556A9CDD-D66D-4048-A229-C92812114EDF}" xr6:coauthVersionLast="47" xr6:coauthVersionMax="47" xr10:uidLastSave="{00000000-0000-0000-0000-000000000000}"/>
  <bookViews>
    <workbookView xWindow="-108" yWindow="-108" windowWidth="23256" windowHeight="12456" xr2:uid="{00000000-000D-0000-FFFF-FFFF00000000}"/>
  </bookViews>
  <sheets>
    <sheet name="1. Résumé" sheetId="2" r:id="rId1"/>
    <sheet name="2. Contexte" sheetId="3" r:id="rId2"/>
    <sheet name="3. Dangers" sheetId="4" r:id="rId3"/>
    <sheet name="4. Vulnérabilité" sheetId="5" r:id="rId4"/>
    <sheet name="5. Capacité" sheetId="6" r:id="rId5"/>
    <sheet name="6. Cohésion, Inclusion, Connect" sheetId="7" r:id="rId6"/>
    <sheet name="7. Risque" sheetId="8" r:id="rId7"/>
    <sheet name="8. Analyse" sheetId="9" r:id="rId8"/>
    <sheet name="9. Plan d’action" sheetId="10" r:id="rId9"/>
  </sheets>
  <externalReferences>
    <externalReference r:id="rId10"/>
  </externalReferences>
  <definedNames>
    <definedName name="Drop_down2" localSheetId="5">'8.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SP6BODShcqBcZcClCx8Fg7L1bQu6EQPCtyBShcUkoE="/>
    </ext>
  </extLst>
</workbook>
</file>

<file path=xl/calcChain.xml><?xml version="1.0" encoding="utf-8"?>
<calcChain xmlns="http://schemas.openxmlformats.org/spreadsheetml/2006/main">
  <c r="V64" i="5" l="1"/>
  <c r="E41" i="2" l="1"/>
  <c r="E61" i="2"/>
  <c r="E6" i="3"/>
  <c r="C42" i="8" l="1"/>
  <c r="C27" i="8"/>
  <c r="C12" i="8"/>
  <c r="C44" i="6"/>
  <c r="C30" i="6"/>
  <c r="C16" i="6"/>
  <c r="C54" i="5"/>
  <c r="C40" i="5"/>
  <c r="C24" i="5"/>
  <c r="C67" i="2" l="1"/>
  <c r="E65" i="2"/>
  <c r="C53" i="2"/>
  <c r="E51" i="2"/>
  <c r="E48" i="2"/>
  <c r="E47"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4" i="6"/>
  <c r="J52" i="8" s="1"/>
  <c r="P53" i="6"/>
  <c r="J51" i="8" s="1"/>
  <c r="P52" i="6"/>
  <c r="J50" i="8" s="1"/>
  <c r="P51" i="6"/>
  <c r="J49" i="8" s="1"/>
  <c r="P50" i="6"/>
  <c r="J48" i="8" s="1"/>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6" i="6" s="1"/>
  <c r="P27" i="6"/>
  <c r="M27" i="6"/>
  <c r="G27" i="6"/>
  <c r="G41" i="6" s="1"/>
  <c r="G55" i="6" s="1"/>
  <c r="P26" i="6"/>
  <c r="J22" i="8" s="1"/>
  <c r="P25" i="6"/>
  <c r="J21" i="8" s="1"/>
  <c r="P24" i="6"/>
  <c r="J20" i="8" s="1"/>
  <c r="P23" i="6"/>
  <c r="J19" i="8" s="1"/>
  <c r="P22" i="6"/>
  <c r="J18" i="8" s="1"/>
  <c r="P21" i="6"/>
  <c r="J17" i="8" s="1"/>
  <c r="P20" i="6"/>
  <c r="J16" i="8" s="1"/>
  <c r="P19" i="6"/>
  <c r="J15" i="8" s="1"/>
  <c r="K5" i="6"/>
  <c r="E5" i="6"/>
  <c r="V66" i="5"/>
  <c r="V65" i="5"/>
  <c r="H52" i="8"/>
  <c r="V63" i="5"/>
  <c r="H51" i="8" s="1"/>
  <c r="V62" i="5"/>
  <c r="H50" i="8" s="1"/>
  <c r="V61" i="5"/>
  <c r="H49" i="8" s="1"/>
  <c r="V60" i="5"/>
  <c r="H48" i="8" s="1"/>
  <c r="V59" i="5"/>
  <c r="H47" i="8" s="1"/>
  <c r="V58" i="5"/>
  <c r="H46" i="8" s="1"/>
  <c r="V57" i="5"/>
  <c r="H45" i="8" s="1"/>
  <c r="V52" i="5"/>
  <c r="V51" i="5"/>
  <c r="V50" i="5"/>
  <c r="H37" i="8" s="1"/>
  <c r="V49" i="5"/>
  <c r="H36" i="8" s="1"/>
  <c r="V48" i="5"/>
  <c r="H35" i="8" s="1"/>
  <c r="V47" i="5"/>
  <c r="H34" i="8" s="1"/>
  <c r="V46" i="5"/>
  <c r="H33" i="8" s="1"/>
  <c r="V45" i="5"/>
  <c r="H32" i="8" s="1"/>
  <c r="V44" i="5"/>
  <c r="H31" i="8" s="1"/>
  <c r="V43" i="5"/>
  <c r="H30" i="8" s="1"/>
  <c r="S38" i="5"/>
  <c r="V38" i="5" s="1"/>
  <c r="M38" i="5"/>
  <c r="M52" i="5" s="1"/>
  <c r="M66" i="5" s="1"/>
  <c r="G38" i="5"/>
  <c r="G52" i="5" s="1"/>
  <c r="G66" i="5" s="1"/>
  <c r="V37" i="5"/>
  <c r="S37" i="5"/>
  <c r="M37" i="5"/>
  <c r="M51" i="5" s="1"/>
  <c r="M65" i="5" s="1"/>
  <c r="G37" i="5"/>
  <c r="G51" i="5" s="1"/>
  <c r="G65" i="5" s="1"/>
  <c r="V36" i="5"/>
  <c r="H22" i="8" s="1"/>
  <c r="V35" i="5"/>
  <c r="H21" i="8" s="1"/>
  <c r="V34" i="5"/>
  <c r="H20" i="8" s="1"/>
  <c r="V33" i="5"/>
  <c r="H19" i="8" s="1"/>
  <c r="V32" i="5"/>
  <c r="H18" i="8" s="1"/>
  <c r="V31" i="5"/>
  <c r="H17" i="8" s="1"/>
  <c r="V30" i="5"/>
  <c r="H16" i="8" s="1"/>
  <c r="V29" i="5"/>
  <c r="H15" i="8" s="1"/>
  <c r="R5" i="5"/>
  <c r="K5" i="5"/>
  <c r="E5" i="5"/>
  <c r="AA5" i="4"/>
  <c r="R5" i="4"/>
  <c r="K5" i="4"/>
  <c r="E5" i="4"/>
  <c r="AA4" i="4"/>
  <c r="AA3" i="4"/>
  <c r="AA2" i="4"/>
  <c r="W26" i="3"/>
  <c r="S24" i="3"/>
  <c r="O24" i="3"/>
  <c r="K24" i="3"/>
  <c r="G24" i="3"/>
  <c r="V27" i="3"/>
  <c r="U27" i="3"/>
  <c r="S20" i="3"/>
  <c r="R22" i="3" s="1"/>
  <c r="O20" i="3"/>
  <c r="N22" i="3" s="1"/>
  <c r="K20" i="3"/>
  <c r="J22" i="3" s="1"/>
  <c r="G20" i="3"/>
  <c r="F22" i="3" s="1"/>
  <c r="C39" i="2"/>
  <c r="M16" i="8" l="1"/>
  <c r="M22" i="8"/>
  <c r="M52" i="8"/>
  <c r="E22" i="3"/>
  <c r="G22" i="3" s="1"/>
  <c r="M37" i="8"/>
  <c r="W24" i="3"/>
  <c r="M55" i="6"/>
  <c r="P55"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W20" i="3"/>
  <c r="P42" i="6" l="1"/>
  <c r="M56" i="6"/>
  <c r="P56" i="6" s="1"/>
  <c r="V22" i="3"/>
  <c r="U22" i="3"/>
  <c r="W27" i="3"/>
  <c r="W22" i="3" l="1"/>
</calcChain>
</file>

<file path=xl/sharedStrings.xml><?xml version="1.0" encoding="utf-8"?>
<sst xmlns="http://schemas.openxmlformats.org/spreadsheetml/2006/main" count="711" uniqueCount="343">
  <si>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</si>
  <si>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</si>
  <si>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</si>
  <si>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</si>
  <si>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</si>
  <si>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</si>
  <si>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</si>
  <si>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</si>
  <si>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</si>
  <si>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</si>
  <si>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</si>
  <si>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</si>
  <si>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</si>
  <si>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</si>
  <si>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</si>
  <si>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</si>
  <si>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</si>
  <si>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</si>
  <si>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</si>
  <si>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</si>
  <si>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</si>
  <si>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</si>
  <si>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</si>
  <si>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</si>
  <si>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</si>
  <si>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</si>
  <si>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</si>
  <si>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</si>
  <si>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</si>
  <si>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</si>
  <si>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</si>
  <si>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</si>
  <si>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</si>
  <si>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</si>
  <si>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</si>
  <si>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</si>
  <si>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</si>
  <si>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</si>
  <si>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</si>
  <si>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</si>
  <si>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</si>
  <si>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</si>
  <si>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</si>
  <si>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</si>
  <si>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</si>
  <si>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</si>
  <si>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</si>
  <si>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</si>
  <si>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</si>
  <si>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</si>
  <si>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</si>
  <si>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</si>
  <si>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</si>
  <si>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</si>
  <si>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</si>
  <si>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</si>
  <si>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</si>
  <si>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</si>
  <si>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</si>
  <si>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 xml:space="preserve">Agriculture et fonctionnariat </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</si>
  <si>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</si>
  <si>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</si>
  <si>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</si>
  <si>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</si>
  <si>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</si>
  <si>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</si>
  <si>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</si>
  <si>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</si>
  <si>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</si>
  <si>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</si>
  <si>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</si>
  <si>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</si>
  <si>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</si>
  <si>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</si>
  <si>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</si>
  <si>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</si>
  <si>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</si>
  <si>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</si>
  <si>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</si>
  <si>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</si>
  <si>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 xml:space="preserve">Inondation </t>
  </si>
  <si>
    <t>Cyclone</t>
  </si>
  <si>
    <t>Nom/type de danger</t>
  </si>
  <si>
    <t>Cause/origine :</t>
  </si>
  <si>
    <t>Signes précurseurs :</t>
  </si>
  <si>
    <t>Délai :</t>
  </si>
  <si>
    <t>Fréquence :</t>
  </si>
  <si>
    <t xml:space="preserve">Régulière </t>
  </si>
  <si>
    <t>Période d’occurrence :</t>
  </si>
  <si>
    <t>Durée :</t>
  </si>
  <si>
    <t xml:space="preserve">Epidémies </t>
  </si>
  <si>
    <t xml:space="preserve">Récurente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</si>
  <si>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</si>
  <si>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</si>
  <si>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</si>
  <si>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</si>
  <si>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</si>
  <si>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</si>
  <si>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</si>
  <si>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</si>
  <si>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</si>
  <si>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</si>
  <si>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</si>
  <si>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</si>
  <si>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Inondation</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</si>
  <si>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</si>
  <si>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</si>
  <si>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</si>
  <si>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</si>
  <si>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</si>
  <si>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</si>
  <si>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</si>
  <si>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</si>
  <si>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</si>
  <si>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</si>
  <si>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</si>
  <si>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</si>
  <si>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</si>
  <si>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</si>
  <si>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</si>
  <si>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</si>
  <si>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t>
  </si>
  <si>
    <t xml:space="preserve">&gt; Impossibilité d'aller pêcher car la mer est trop agitée
&gt; Coupure des routes 
&gt; Perte d'emploi 
&gt; Animaux d'élevage emportés par l'eau </t>
  </si>
  <si>
    <t xml:space="preserve">&gt; Concentration des sinistrés à un seul endroit - propogation encore plus rapide des maladies, bousculades 
&gt; Enfants ne peuvent pas aller à l'école 
&gt; Les gens ne peuvent pas se déplacer </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</si>
  <si>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</si>
  <si>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</si>
  <si>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</si>
  <si>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 xml:space="preserve">&gt; Décès 
&gt; Automédication 
&gt; Les gens doivent se tenir à distance les uns des autres </t>
  </si>
  <si>
    <t xml:space="preserve">&gt; Insuffisance des BF 
&gt; Pas de moyens financiers pour acheter de l'eau à la JIRAMA
&gt; Manque de WC </t>
  </si>
  <si>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</si>
  <si>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</si>
  <si>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</si>
  <si>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</si>
  <si>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</si>
  <si>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</si>
  <si>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</si>
  <si>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</si>
  <si>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</si>
  <si>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</si>
  <si>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</si>
  <si>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</si>
  <si>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</si>
  <si>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</si>
  <si>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</si>
  <si>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</si>
  <si>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</si>
  <si>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</si>
  <si>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</si>
  <si>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</si>
  <si>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</si>
  <si>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</si>
  <si>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</si>
  <si>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</si>
  <si>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</si>
  <si>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</si>
  <si>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</si>
  <si>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</si>
  <si>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</si>
  <si>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</si>
  <si>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</si>
  <si>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</si>
  <si>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</si>
  <si>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</si>
  <si>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</si>
  <si>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</si>
  <si>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</si>
  <si>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</si>
  <si>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</si>
  <si>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</si>
  <si>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</si>
  <si>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</si>
  <si>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</si>
  <si>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</si>
  <si>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</si>
  <si>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</si>
  <si>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</si>
  <si>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</si>
  <si>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</si>
  <si>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</si>
  <si>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</si>
  <si>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</si>
  <si>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</si>
  <si>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</si>
  <si>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</si>
  <si>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</si>
  <si>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</si>
  <si>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</si>
  <si>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</si>
  <si>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</si>
  <si>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</si>
  <si>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</si>
  <si>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</si>
  <si>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</si>
  <si>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</si>
  <si>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</si>
  <si>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</si>
  <si>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</si>
  <si>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</si>
  <si>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</si>
  <si>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</si>
  <si>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</si>
  <si>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</si>
  <si>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</si>
  <si>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</si>
  <si>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</si>
  <si>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</si>
  <si>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</si>
  <si>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</si>
  <si>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chaque année</t>
  </si>
  <si>
    <t>4 mois</t>
  </si>
  <si>
    <t>Branche : Morondava</t>
  </si>
  <si>
    <t>Pays : Madagascar</t>
  </si>
  <si>
    <t>La cohesion sociale est une question dificile à poser, mais après discution entre les membres du fokontany, on sent de l'entraide en temps d'urgence dans le fokontany</t>
  </si>
  <si>
    <t>Province / État : Toliara</t>
  </si>
  <si>
    <t>Date de début de l’EVCa : 04/11/2024</t>
  </si>
  <si>
    <t>Date de fin de l’EVCa : 06/11/2024</t>
  </si>
  <si>
    <t>souvent touché par l'innondation</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</si>
  <si>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local
-        Représentant des personnes âgées
-        Représentant des Jeunes
-        Représentant des Femmes 
-        Représentant des commerçants 
-        Représentant de la société civile
-        Représentant du secteur éducation
-        Représentant du secteur eau
-        Représentant du secteur santé
-        Représentant des pecheurs
-        Agent communautaire
Durant le processus, les autorités locales (Préfecture, Commune, Arrondissement) ainsi que le BNGRC, le MEN ainsi que les gouvernences locales ont été  toujours impliqués. 
</t>
  </si>
  <si>
    <t xml:space="preserve">&gt; Cessation des activités 
&gt; Manque de poissons
&gt; Eaux polluées 
&gt; Les produits pourrissent 
&gt; Baisse de la clientèle 
&gt; Marchés inondés 
&gt; dificulté de déplacement pour travailler  </t>
  </si>
  <si>
    <t xml:space="preserve">Partage des informations par les agents communaitaires, alertes météo, alertes précoces </t>
  </si>
  <si>
    <t>agents communautaires fournir des conseils , hopital privée GREEN WORLD</t>
  </si>
  <si>
    <t xml:space="preserve">BF et pompe be pour un accès à l'eau potable ce qui évite certaines maladies 
</t>
  </si>
  <si>
    <t>stockage de nourriture vivrierre</t>
  </si>
  <si>
    <t>gagner de l'argent à hotelerie et PPN</t>
  </si>
  <si>
    <t>néant</t>
  </si>
  <si>
    <t>Innondation</t>
  </si>
  <si>
    <t>Epidemie</t>
  </si>
  <si>
    <t>cyclone</t>
  </si>
  <si>
    <t xml:space="preserve">Destructions des maisons , parpillage caca </t>
  </si>
  <si>
    <t>Avril-Novembre</t>
  </si>
  <si>
    <t>Chef Fokontany , Comite EVCA</t>
  </si>
  <si>
    <t xml:space="preserve">le maladie s'agravé et menent vers la mort (Décès) </t>
  </si>
  <si>
    <t>Sensibilisations , formations</t>
  </si>
  <si>
    <t>Chef Fokontany , AC</t>
  </si>
  <si>
    <t>Outils de nettoyages ,</t>
  </si>
  <si>
    <t xml:space="preserve">Chef fokontany , Commite EVCA </t>
  </si>
  <si>
    <t>FKT 03/18 Avaradrova</t>
  </si>
  <si>
    <t>Quartiers : Fkt 03/18 Avaradrova</t>
  </si>
  <si>
    <t>Pluies, climat et submersion marines 
Caractéristiques des lieux 
 et trop étroits, construction dans les bas quartiers, manque de zones pour le tri des déchets, manque d'action des responsables, pas assez d'infrastructure d'évacuation</t>
  </si>
  <si>
    <t>Pendant quelques jours</t>
  </si>
  <si>
    <t>Septembre-Février</t>
  </si>
  <si>
    <t>vent , nuageux , tourbions , tempete</t>
  </si>
  <si>
    <t>Décembre -Mars</t>
  </si>
  <si>
    <t>il n'y a pas de specificité par rapport au genre ou des groupes des personnes vulnerables , mais seulement par la secteur (partie) des Fokontany ,elle l'ont expliquer et montrer à l'aide d'une carte de vulnerabilité et de carthographie du Fokontany Avaradrova .</t>
  </si>
  <si>
    <t xml:space="preserve">Borne Fontaine (BF)
Pompe Japis , Puits
&gt; la communauté a accès à l'eau potable </t>
  </si>
  <si>
    <t>Société COPEFRITO, Elévage de cochons et volaile</t>
  </si>
  <si>
    <t>Foret des mangroves ,plages</t>
  </si>
  <si>
    <t>Equipe Local de Secours (ELS)</t>
  </si>
  <si>
    <t xml:space="preserve">AC , Mégaphon 01 , Existence de aide soignante paramed pour une prise en charge des soins </t>
  </si>
  <si>
    <t xml:space="preserve">Delequence juvenile , adolecent mal comporté , Voyoux , difficile à organiser </t>
  </si>
  <si>
    <t>Discrimination , corruption</t>
  </si>
  <si>
    <t>Dégats materiels et humaines , augmentations de diffucultés financieres , innondations , des toitures décoifé</t>
  </si>
  <si>
    <t>Outils complets de constructions , téchniciens</t>
  </si>
  <si>
    <t>aprés saison cyclonique : avril -….</t>
  </si>
  <si>
    <t>Toute l'année</t>
  </si>
  <si>
    <t>Fokontany situé en plein ville ,Mais en basse altitude</t>
  </si>
  <si>
    <t>Il y avait des représentants des femmes, des représentants des jeunes. Ces derniers nous ont expliqué qu'il n'y avait pas de vulnérabilité particulière pour ces groupes car toute la communauté est affectée et se débrouille eux meme .</t>
  </si>
  <si>
    <t>Position : Président de District</t>
  </si>
  <si>
    <t>Contact : 0348736810</t>
  </si>
  <si>
    <t>Pluies , montée de niveau d'eau sur le répère (Balise)</t>
  </si>
  <si>
    <t>Panneau des mouvement des vents  de la mer , Existance d'Equipe Local de Sécours (ELS) , CRM , BNGRC , Comite GRC</t>
  </si>
  <si>
    <t>nettoyage du canal d'évacuation d'eau , protection de zone cotière</t>
  </si>
  <si>
    <t>la plupart des murs de maisons presque en planche pour éviter la fichure</t>
  </si>
  <si>
    <t xml:space="preserve">Maison presque entouré des cours en goltte ,en planche  ce qui permet de limiter les dégâts , à baissé la pression du vent </t>
  </si>
  <si>
    <t xml:space="preserve">BF, Eglise utilisés comme site d'hébergements et accueils temporaires 
Hébèrgement entre voisins  </t>
  </si>
  <si>
    <t>BF , Pompe Japis , Puits</t>
  </si>
  <si>
    <t xml:space="preserve">CSB , pres de la  ville </t>
  </si>
  <si>
    <t>plantes médicinaux , Honko , soins traditionnele</t>
  </si>
  <si>
    <t>existance des abris comme: EPP avaradrova, Eglise ,Mosque utilisés comme des hébergements et accueils temporaires 
Hébèrgement entre voisins  , BF</t>
  </si>
  <si>
    <t>Croix-Rouge Malagasy / Branche Menabe</t>
  </si>
  <si>
    <t>BNGRC</t>
  </si>
  <si>
    <t>Dans le cadre du projet Programme local de Préparation et de Résilience aux aléas Multiples (PPRM) financé par la FCDO mis en oeuvre par la Croix-Rouge Malagasy , des activités de préparation et anticipation ont identifiés comme besoin crucial pour préparer cette saison cyclonique 2024– 2025. Ainsi, la région Menabe a été identifiée comme zone favorable pour mener une Evaluation des Vulnérabilités et Capacités améliorée (EVCA). Un atelier EVCA est ainsi organisé dans 04 fokontany de la ville de Morondava  et 02 fokontany pour la commune d'Analaiva.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(Vice president Fokontany) en tant qu’observateurs
- Représentant de la CRM local 
- Représentant des personnes âgées
- Représentant des Jeunes
- Représentant des Femmes 
- Représentant de la société civile
- Représentant du secteur éducation
- Représentant des commerçants
- Représentant du pecheurs
- Représentant des cultivateurs
- Agent communautaire</t>
  </si>
  <si>
    <r>
      <t xml:space="preserve">Morondava, chef-lieu de la région Menabe ,province de Toliara, est la seconde ville du pays et concentre 6,6% de sa population urbaine. Elle se situe dans la région Menabe, sur la côte-ouest du pays, au débouché du canal de l'océan indien, axe majeur de transport de marchandises, à environ 697 kilomètres d’Antananarivo via la route nationale 7 et 35 (RN7 et RN35). Morondava est composée de 4  commune rural et de 18 fokontany et rassemble 22% de la population de la région Menabe, avec 178 966 habitants pour une superficie de 23km22, soit une densité moyenne de 10 534 habitants/km2.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six centres de santé de base et deux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03/18 Avaradrova (secteurs 1, 2, 3, 4, 5) est composé de la sorte</t>
    </r>
    <r>
      <rPr>
        <sz val="10"/>
        <color theme="1"/>
        <rFont val="Arial"/>
        <family val="2"/>
      </rPr>
      <t xml:space="preserve">
Secteur 1 : population de 938 habitants (375 hommes et 743 femmes) répartis en 265 ménages avec une moyenne de 4 personnes par ménage 
Secteur 2 : population de 1022 habitants (310 hommes et 632 femmes) répartis en 153 ménages avec une moyenne de 7 personnes par ménage 
Secteur 3 : population de 1010 habitants (404 hommes et 696 femmes) répartis en 247 ménages avec une moyenne de 5 personnes par ménage
Secteur 4 : population de 1101 habitants (560 hommes et 720 femmes) répartis en 271 ménages avec une moyenne de 2 personnes par ménage 
Secteur 5 : population de 1012 habitants (280 hommes et 980 femmes) répartis en 289 ménages avec une moyenne de 5 personnes par ménage
Le fokontany 03/18 Avaradrova regroupe ainsi 7800 habitants dont 1754 hommes et 6046 femmes 
Les principaux risques auxquels fait face la communauté sont les suivants : incendie, cyclone et inondations en lien avec les canaux bouchés et la mauvaise gestion des déchets ce qui génère des maladies ainsi qu’en lien avec l’augmentation du niveau de la mer. Le fokontany a été touché par plusieurs cyclones depuis les années 1990, un incendie en 2023 ainsi que par l'épidémie de Covid.  
</t>
    </r>
  </si>
  <si>
    <t xml:space="preserve">Les dangers identifiés comme prioraitaires sont les suivants : inondation , épidémie ,cyclone. 
Les aléas ont été identifiés grace aux outils : profil historique, calendrier saisonnier, matrice des risques, cartographie, marche transversale
</t>
  </si>
  <si>
    <t>04 à 05 mois</t>
  </si>
  <si>
    <t>Changement climatique,  perturbation ou dépression tropicale</t>
  </si>
  <si>
    <t>Déversement de déchets ; ordurs ; Inondation , défecation à l'air libre , emporté par le vent</t>
  </si>
  <si>
    <t xml:space="preserve"> congestion nasale, difficultés respiratoires , une fatigue inhabituelle , maux de tete , Fièvre, toux</t>
  </si>
  <si>
    <t>Non Definie</t>
  </si>
  <si>
    <t>Saisonier</t>
  </si>
  <si>
    <t>Non définie</t>
  </si>
  <si>
    <r>
      <rPr>
        <u/>
        <sz val="10"/>
        <color theme="1"/>
        <rFont val="Arial"/>
        <family val="2"/>
      </rPr>
      <t>Enfants</t>
    </r>
    <r>
      <rPr>
        <sz val="10"/>
        <color theme="1"/>
        <rFont val="Arial"/>
        <family val="2"/>
      </rPr>
      <t xml:space="preserve"> :
Ils dépendent des adultes pour leur sécurité et sont particulièrement exposés aux maladies, à la malnutrition ou au stress en cas de crise.</t>
    </r>
    <r>
      <rPr>
        <u/>
        <sz val="10"/>
        <color theme="1"/>
        <rFont val="Arial"/>
        <family val="2"/>
      </rPr>
      <t>Femmes et filles</t>
    </r>
    <r>
      <rPr>
        <sz val="10"/>
        <color theme="1"/>
        <rFont val="Arial"/>
        <family val="2"/>
      </rPr>
      <t xml:space="preserve"> :
Elles subissent souvent des charges sociales et économiques disproportionnées et sont parfois exposées à des risques accrus de violence ou de discrimination en situation de crise.</t>
    </r>
  </si>
  <si>
    <t>Les personnes à faibles revenus ont moins de moyens pour se protéger, se préparer ou se rétablir face à une crise (accès limité à des logements solides, aux soins médicaux ou à des assurances).</t>
  </si>
  <si>
    <t>Des facteurs liés à des aspects sociaux</t>
  </si>
  <si>
    <t>&gt; Déstruction de maisons , des champs de cultures , les animaux est emporté par l'érosion causé par le dépassement de la rivière .  Inondations de la communauté et nombre de sinistrés élevés</t>
  </si>
  <si>
    <r>
      <t xml:space="preserve">Aspects de vulnérabilité avec leurs causes </t>
    </r>
    <r>
      <rPr>
        <sz val="10"/>
        <color theme="0"/>
        <rFont val="Arial"/>
        <family val="2"/>
      </rPr>
      <t xml:space="preserve">
(la raison pour laquelle l'impact se produit et les causes profondes)</t>
    </r>
  </si>
  <si>
    <t xml:space="preserve">&gt; Habitats situés près des cours d'eau, dans les plaines inondables ou les zones côtières
&gt; </t>
  </si>
  <si>
    <t xml:space="preserve">&gt; L'économie locale souvent liée à l'agriculture, la pêche ou le commerce informel, activités fortement touchées par les inondations.
&gt; Augmentation de la pauvreté , hausse de prix , augmentation de cout de la vie 
</t>
  </si>
  <si>
    <t xml:space="preserve">&gt; l'augmentation de la Malnutrition , Destruction des récoltes, du bétail et des stocks de nourriture.
</t>
  </si>
  <si>
    <t>&gt;Prolifération des moustiques dans les zones inondées, augmentant les cas de paludisme et de dengue. Surcharge des services de santé due à l'augmentation des maladies post-inondation. Incapacité des hôpitaux à fournir des soins adéquats. &gt; Contamination de l’eau potable par les eaux de ruissellement, entraînant des maladies et se propager rapide comme le choléra, les diarrhées , la gale.</t>
  </si>
  <si>
    <t>&gt; Eau polluée , des puits polluée , eau sale rester pendant quelques semaines dans la communauté &gt; Déversement de selles et de déchets , Débordement des fosses septiques ( latrines), aggravant les risques sanitaires</t>
  </si>
  <si>
    <t>&gt; Les eaux stagnantes favorisent la prolifération de moustiques (paludisme, dengue) et la contamination des sources d'eau potable.  Eau polluée , des puits polluée , Contamination de l’eau potable par les eaux de ruissellement, Manque d'accés à l'eau potable</t>
  </si>
  <si>
    <t xml:space="preserve">&gt;  Défécation dans la nature , manque d'habitude sur le traitement de l'eau lavage de mains .
&gt;Déversement de selles et de déchets dans le puits et eau , 
&gt; Eau polluée , des puits polluée , eau sale rester pendant quelques semaines dans la communauté
&gt; Débordement des fosses septiques (latrines ), aggravant les risques de pollution d'eau et de la communauté </t>
  </si>
  <si>
    <t xml:space="preserve">&gt; Maisons détruites ou menacées , effondrement total ou partiel des habitations.
Dégradation des matériaux de construction (murs, fondations, toitures) due à l'eau.
Accumulation de boue, détritus ou saletés à l'intérieur des habitations.Les logements en matériaux non résistants (terre battue) sont souvent emportés.
</t>
  </si>
  <si>
    <t>&gt; Maisons construites en basse altitude et manque de renforcement , Maisons mal construites et situées dans des zones inondables. Absence de surélévation par rapport au niveau du sol, ce qui expose directement le logement aux inondations.
Mauvaise conception des fondations, entraînant des effondrements ou des infiltrations.</t>
  </si>
  <si>
    <t xml:space="preserve">&gt; La perte de terres agricoles et érosion des sols qui dégradent les sols agricoles, ce qui rend les terres moins productives et augmente l'insécurité alimentaire. Les stocks pourrissent .  Les familles perdent leurs terres agricoles, aggravant l'insuffisance alimentaire , la pauvreté </t>
  </si>
  <si>
    <t>&gt; Les administrations locales ne peuvent fonctionner normalement, ce qui retarde la gestion des crises et les services à la population.Hausse des dépenses pour les réparations. Les canaux bouchés empêchent l'évacuation rapide des eaux pluviales, entraînant des inondations prolongées.
Utilisation des écoles comme abris temporaires, rendant leur réouverture difficile.L’accueil prolongé des sinistrés retarde la reprise des cours, perturbant l’année scolaire des élèves.</t>
  </si>
  <si>
    <t>&gt; Réseaux de drainage insuffisants ou obstrués, favorisant les inondations urbaines. Canaux bouchés et remplis d'ordures , Chemins non pavés rendus impraticables par la boue , Bâtiments endommagés ou détruits, interrompant les activités éducatives et administratives.
Utilisation des écoles comme abris temporaires, rendant leur réouverture difficile.</t>
  </si>
  <si>
    <t>&gt; Pollution accrue des zones naturelles et dans la mer .  Les débris des logements détruits et les matériaux polluants se dispersent dans la nature.</t>
  </si>
  <si>
    <t xml:space="preserve">&gt; Dégradation des mangroves, forêts, et zones humides qui agissent comme barrières naturelles contre les inondations. 
&gt; Depôt d'ordure dans les zones naturelles et sur les zones côtières ;La croissance urbaine incontrôlée dans les zones à haut risque augmente la vulnérabilité des populations et des ressources naturelles aux cyclones. </t>
  </si>
  <si>
    <t xml:space="preserve">&gt; Destruction des maisons , Les cyclones détruisent les cultures, les bétails et les commerces, rendant les communautés plus dépendantes des aides.
&gt; Montée des déchets rejetées par la mer 
</t>
  </si>
  <si>
    <t>&gt; Habitations situées en plein ville mais en basse altitude
&gt; Montée du niveau de la mer 
&gt;Toitures légères, matériaux de construction non résistants, absence de normes parasismiques ou anti-cycloniques à cause de la pauvreté empêchant l’investissement dans des matériaux robustes</t>
  </si>
  <si>
    <t xml:space="preserve">&gt;  Contamination de l’eau potable par les eaux de ruissellement, entraînant des maladies et se propager rapide comme le choléra, les diarrhées , la gale. &gt;Prolifération des moustiques dans les zones inondées, augmentant les cas de paludisme et de dengue. Surcharge des services de santé due à l'augmentation des maladies post-inondation. Incapacité des hôpitaux à fournir des soins adéquats . Diarrhée, Paludisme, Gale &gt; peu aller jusqu'au décès </t>
  </si>
  <si>
    <t>&gt; Eau polluée , des puits polluée , eau sale rester pendant quelques semaines dans la communauté &gt; Déversement de selles et de déchets , Débordement des fosses septiques ( latrines), aggravant les risques sanitaires . Dépot de dechets et de l'eau presque permanent</t>
  </si>
  <si>
    <t>&gt;Eau polluée , des puits polluée , Contamination de l’eau potable par les eaux de ruissellement, Manque d'accés à l'eau potable , Les eaux stagnantes favorisent la prolifération de moustiques (paludisme, dengue) et la contamination des sources d'eau potable.</t>
  </si>
  <si>
    <t xml:space="preserve">&gt; Insuffisance des Borne Fontaine ,WC  . Défécation dans la nature , manque d'habitude sur le traitement de l'eau lavage de mains .
&gt;Déversement de selles et de déchets dans le puits et eau , Débordement des fosses septiques (latrines ), aggravant les risques de pollution d'eau et de la communauté
&gt; Eau provenant des pompes jappy n'est pas potable </t>
  </si>
  <si>
    <t>&gt; Destruction des maisons détruites ou menacées , effondrement total ou partiel des habitations.
Accumulation de boue, détritus ou saletés à l'intérieur des habitations.Les logements en matériaux non résistants (terre battue) sont souvent emportés.
&gt; Cambriolage 
&gt; Dégradation des matériaux de construction (murs, fondations, toitures) due à l'eau.</t>
  </si>
  <si>
    <t>&gt; Habitations situées au bord de la mer
&gt; Montée du niveau de la mer 
&gt; Absence de surélévation par rapport au niveau du sol, ce qui expose directement le logement aux inondations.
Mauvaise conception des fondations, entraînant des effondrements ou des infiltrations.
&gt; Manque d’alternatives pour les populations à faible revenu. Utilisation de matériaux non résistants à l'eau, comme le bois non traité, la terre battue, ou les briques non stabilisées.</t>
  </si>
  <si>
    <t xml:space="preserve">&gt; Augmentation de l'insécurité alimentaire , hausse de prix des nourritures  , Malnutrition </t>
  </si>
  <si>
    <t xml:space="preserve">Les familles perdent leurs terres agricoles, aggravant l'insuffisance alimentaire , la pauvreté . Les stocks pourrissent . La perte de terres agricoles et érosion des sols qui dégradent les sols agricoles, ce qui rend les terres moins productives et augmente l'insécurité alimentaire. 
</t>
  </si>
  <si>
    <t>&gt; Les terres agricoles et les ressources naturelles (pêche, forêts) sont souvent endommagées, réduisant la productivité économique.
&gt; Les habitants perdent leurs moyens de subsistance, notamment pour ceux qui travaillent depuis leur domicile ou dans l'agriculture
&gt; Les familles doivent consacrer leurs économies ou s'endetter pour réparer ou reconstruire leurs logements.Certain perdent leurs terres agricoles, aggravant la pauvreté. Détérioration de la qualité de vie et difficulté à se relever après l'inondation</t>
  </si>
  <si>
    <t>&gt;Les cyclones peuvent entraîner de graves inondations, ce qui a un double impact sur les ressources en eau.La perte de végétation peut entraîner une érosion des sols, un appauvrissement des terres et un impact négatif sur les espèces animales.</t>
  </si>
  <si>
    <t>La destruction de forêts, de mangroves , qui sont des boucliers naturels contre l'érosion et les vagues de tempête. Perte de terres agricoles et érosion des sols . La croissance urbaine incontrôlée dans les zones à haut risque augmente la vulnérabilité des populations et des ressources naturelles aux cyclones.</t>
  </si>
  <si>
    <t>&gt;Vieillesse des infrastructures , manque de réhabilitation
&gt; Déracinement de la borne à fontaine 
&gt; Canaux bouchés et remplis d'ordures , Chemins non pavés rendus impraticables par la boue , Bâtiments endommagés ou détruits, interrompant les activités éducatives et administratives.
Utilisation des écoles comme abris temporaires, rendant leur réouverture difficile.</t>
  </si>
  <si>
    <t>&gt;Augmentation des taux de mortalités ,des personnes malades , Les ressources humaines, financières et matérielles, normalement allouées à la gestion des risques de catastrophes, sont réorientées vers la lutte contre l’épidémie. Cela affaiblit la capacité de réponse à d'autres catastrophes.L’épidémie épuise les mécanismes de résilience des communautés, comme les réseaux de solidarité, les fonds d’épargne communautaires ou les capacités locales d’intervention.
Les plans d'action pour des événements climatiques extrêmes, comme les cyclones, les inondations ou les sécheresses, sont souvent retardés ou compromis en raison de la priorité donnée à la gestion de l’épidémie.</t>
  </si>
  <si>
    <t xml:space="preserve">&gt;Perte de moyens de subsistance en raison des confinements et des restrictions, ce qui réduit la résilience économique des familles.Isolement social et restrictions qui empêchent la mobilisation communautaire.
</t>
  </si>
  <si>
    <t xml:space="preserve">&gt; Surcharge des établissements de santé, entraînant des délais de traitement ou l'absence de soins pour certaines maladies non liées à l'épidémie.Interruption des services de santé essentiels (vaccination, suivi des maladies chroniques, maternité).Diminution de la qualité des soins pour tous les patients, y compris ceux atteints d'autres maladies.
Mortalité accrue en raison de retards dans les soins ou du manque de ressources
 </t>
  </si>
  <si>
    <t>&gt; Consommation d'eau non potable 
&gt; Diarrhée , Consommation d'eau non potable 
&gt; Développement de maladies hydriques :</t>
  </si>
  <si>
    <t>&gt;Le manque d’accès à des installations sanitaires adéquates (eau potable, toilettes) dans certains logements amplifie la propagation des maladies. &gt;Les logements inadaptés, comme les habitations informelles ou surpeuplées, exposent les occupants à un risque accru de transmission des maladies.Les pertes d’emploi et de revenus causées par une épidémie (ex. : confinement ou arrêt des activités économiques) poussent de nombreuses familles à l’incapacité de payer leur loyer ou leur prêt hypothécaire, conduisant à des expulsions.</t>
  </si>
  <si>
    <t xml:space="preserve"> &gt;Les habitats précaires sont souvent surpeuplés et mal ventilés</t>
  </si>
  <si>
    <t>&gt; Augmentation du nombre de personnes souffrant de la faim ou n’ayant pas accès à une alimentation suffisante et équilibrée.
Apparition de crises alimentaires locales dues à une perturbation de la production, de la distribution ou de l'accès à la nourriture.</t>
  </si>
  <si>
    <t>&gt; Augmentation des prix des denrées alimentaires, rendant l’alimentation inaccessible pour les ménages les plus vulnérables. 
&gt; Réduction de la production agricole en raison de perturbations dans les activités agricoles (semis, récolte, etc.).
Perturbations des chaînes d’approvisionnement, entraînant une rareté des produits alimentaires sur les marchés.</t>
  </si>
  <si>
    <t>&gt; Les personnes déjà vulnérables, comme les travailleurs précaires, les petites entreprises ou les populations à faible revenu, sont souvent les plus touchées
&gt; Aggravation de l'état de santé , décès 
&gt; Diminution des revenus</t>
  </si>
  <si>
    <t>&gt; Difficultés financières pour acheter des médicaments 
&gt; Parfois la totalité des revenus sont dépensés dans les soins médicaux ; Confinements et restrictions sanitaires : Les fermetures d'entreprises, les interruptions de production causées par des confinements ou des mesures sanitaires ont un impact direct sur les revenus des travailleurs.</t>
  </si>
  <si>
    <t>&gt;Les systèmes de santé deviennent incapables de gérer d’autres maladies ou urgences, augmentant les taux de mortalité indirects. &gt; Les hôpitaux et centres de santé sont débordés par l’afflux de patients, entraînant une réduction de la qualité des soins.</t>
  </si>
  <si>
    <t>&gt; Incapacité des hôpitaux et centres de santé à répondre à l’afflux massif de patients.
Insuffisance d'équipements médicaux (lits, respirateurs, médicaments).Fermeture prolongée des écoles, compromettant l'accès à l'éducation. Eloignement du centre de santé de base II</t>
  </si>
  <si>
    <t>&gt;Épuisement des ressources naturelles locales, compromettant leur disponibilité pour les générations futures.Augmentation de la déforestation pour l’agriculture ou pour répondre aux besoins en bois de chauffage ou en revenus rapides , exploitent davantage les forêts, les sols et les ressources halieutiques pour subvenir à leurs besoins, aggravant la dégradation des écosystèmes.</t>
  </si>
  <si>
    <t>&gt;Dégradation des terres agricoles en raison de l’exploitation intensive ou de l’abandon des terres. Déclin des activités de reboisement, de surveillance des aires protégées et de gestion des espèces menacées.</t>
  </si>
  <si>
    <t xml:space="preserve">Agents communautaires , CRM
Communauté sensibilisée sur les gestes à suivre ce qui permet de faire diminuer la propagation des maladies , communauté proche de la CSB </t>
  </si>
  <si>
    <t xml:space="preserve">Stocks pré-positionnés de nourriture, d’eau potable, et de matériaux d’urgence
</t>
  </si>
  <si>
    <t>&gt;Possession des Champs de culturs (manioc , patates douces , …)</t>
  </si>
  <si>
    <t>Communautes prés de la mer pour la pêche , Terre fertile , abondante , possession de vaste terrain</t>
  </si>
  <si>
    <t>rétard de feedback de la demande , manque de confiance au responsable</t>
  </si>
  <si>
    <t>Les vulnérabilités multiples (sociales, économiques, environnementales) se combinent pour aggraver ses impacts.
Une gestion proactive, comprenant des systèmes d’alerte, des politiques durables et des infrastructures adaptées, est essentielle pour réduire ces vulnérabilités.
En somme, il est crucial de renforcer la résilience des communautés face aux cyclone en intégrant des approches multisectorielles et inclusives dans la gestion des risques de catastrophes.Destruction des infrastructures : bureau,routes, batiment et écoles endommagés, impactant la vie quotidienne et les activités économiques.
Perte de moyens de subsistance :
Destruction des cultures agricoles et pertes dans le secteur de la pêche. augmentation des insecurités
Dégradation des écosystèmes :
Érosion des sols et perte de biodiversité due à des inondations ou des glissements de terrain.
Pollution des eaux et destruction des récifs coralliens après des cyclones.
Perturbations climatiques locales : Changements dans la disponibilité de l'eau ou dans les saisons agricoles
Réduction des rendements agricoles en raison d’inondations ou de cyclone.
Pénurie alimentaire et augmentation des prix des denrées, entraînant l'insécurité alimentaire.
Endommagement ou destruction des systèmes d'électricité et de communication.
Interruption des services essentiels comme l'eau potable, les soins médicaux et l'éducation.Les catastrophes naturelles entraînent des impacts multidimensionnels sur les populations, l’économie, et  l’environnement . La clé pour réduire ces risques réside dans la prévention, la préparation et des réponses rapides et adaptées.</t>
  </si>
  <si>
    <t xml:space="preserve">Marché, champs de cultures , ferme, bureau , entrepot , dépôt de stockage </t>
  </si>
  <si>
    <t>Pêche local aprés le passage de débordemement de la rivière ; Augmentation de la pêche artisanale et des revenus pour les pêcheurs locaux</t>
  </si>
  <si>
    <t xml:space="preserve">
Destruction des cultures, perte de bétail, et contamination des sols, réduisant les opportunités de revenus agricoles
Les entreprises fermées ou affectées par les inondations peuvent licencier ou suspendre leurs employés.
Les secteurs informels, tels que les petits commerces de rue, sont particulièrement vulnérables.
Les investisseurs hésitent à investir dans des zones sujettes aux inondations, réduisant les opportunités de croissance économique.
Les infrastructures endommagées (routes, ponts, réseaux électriques) rendent les zones moins attractives pour les investissements futurs</t>
  </si>
  <si>
    <t>Routes , batiments , marché, écoles ,</t>
  </si>
  <si>
    <t>Écoles capables d’accueillir temporairement les sinistrés. Ils ont déjà de canal d'évacuation d'eau qui a besoin juste de curage pour faciliter l’évacuation rapide des eaux pluviales.</t>
  </si>
  <si>
    <t>Les bâtiments résidentiels, commerciaux et publics peuvent être endommagés ou détruits.Les routes inondées deviennent impraticables, interrompant les déplacements et le transport des marchandises.Le canal d'évacuation mal entretenus entraînent une stagnation de l’eau . Perte de matériel éducatif comme les livres et les équipements.</t>
  </si>
  <si>
    <t>constructions des WC en dure , Remblage des chemins critiques pour garantir l’accès en toute saison 
 avec de terre rouge 
-Construction des WC public en dure
-Absorption d'eau stagnante avec motopompe 
-Campagnes communautaires pour éviter l’accumulation des déchets,
-Impliquer les chefs de village, responsables religieux et associations locales dans la prévention et la gestion des épidémies
-Sensibilisation de la communauté pour n'est plus faire de l'automédication et de n’est plus déféquer dans la nature 
-Former les Acs pour la prise en charge médical quotidiennes et fournir des médicaments</t>
  </si>
  <si>
    <t>Renforcer les murs pour qu'ils puissent résister à une certaine pression d'eau 
-Fabrication et installation de balise gradué 
-Curage de canal d'évacuation d’eau et sensibilisation pour l’entretien de canal
-Absorption d'eau stagnante avec motopompe 
-Campagnes communautaires pour éviter l’accumulation des déchets 
-Installation de points de distribution d'eau potable
-Construction de bureau Fokontany</t>
  </si>
  <si>
    <t xml:space="preserve"> renforcement des maisons , stockage des nourritures , Renforcer la sensibilisation sur les systèmes d'alerte précoce (SAP) pour permettre une évacuation rapide.
-Evacuation de pécheur local d’amatanito
-monté les pirogues traditionnelles des pécheurs
-Curage canal qui devraient être effectué 2 fois par été ,
-Refresh des ELS à reconnaître les signes avant-coureurs d'un cyclone et aux mesures à prendre en cas d'alerte
-Absorption d'eau stagnante avec motopompe 
-Préparation de médicament , des nourritures à la maison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</si>
</sst>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sz val="8"/>
      <color theme="0"/>
      <name val="Arial"/>
      <family val="2"/>
    </font>
    <font>
      <sz val="10"/>
      <color rgb="FFFFFFFF"/>
      <name val="Arial"/>
      <family val="2"/>
    </font>
    <font>
      <sz val="10"/>
      <name val="Arial"/>
      <family val="2"/>
    </font>
    <font>
      <u/>
      <sz val="10"/>
      <color theme="1"/>
      <name val="Arial"/>
      <family val="2"/>
    </font>
  </fonts>
  <fills count="18">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s>
  <cellStyleXfs count="1">
    <xf numFmtId="0" fontId="0" fillId="0" borderId="0"/>
  </cellStyleXfs>
  <cellXfs count="342">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6" borderId="4" xfId="0" applyFont="1" applyFill="1" applyBorder="1" applyAlignment="1">
      <alignment vertical="top" wrapText="1"/>
    </xf>
    <xf numFmtId="0" fontId="3" fillId="6" borderId="4" xfId="0" applyFont="1" applyFill="1" applyBorder="1"/>
    <xf numFmtId="0" fontId="8" fillId="7" borderId="13" xfId="0" applyFont="1" applyFill="1" applyBorder="1" applyAlignment="1">
      <alignment vertical="center"/>
    </xf>
    <xf numFmtId="0" fontId="3" fillId="7" borderId="13" xfId="0" applyFont="1" applyFill="1" applyBorder="1" applyAlignment="1">
      <alignment vertical="center"/>
    </xf>
    <xf numFmtId="0" fontId="9" fillId="6" borderId="4" xfId="0" applyFont="1" applyFill="1" applyBorder="1" applyAlignment="1">
      <alignment horizontal="right" vertical="center"/>
    </xf>
    <xf numFmtId="0" fontId="9" fillId="7" borderId="13" xfId="0" applyFont="1" applyFill="1" applyBorder="1" applyAlignment="1">
      <alignment vertical="center"/>
    </xf>
    <xf numFmtId="0" fontId="9" fillId="6"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9" borderId="4" xfId="0" applyFont="1" applyFill="1" applyBorder="1" applyAlignment="1">
      <alignment vertical="center"/>
    </xf>
    <xf numFmtId="0" fontId="14" fillId="5" borderId="30" xfId="0" applyFont="1" applyFill="1" applyBorder="1"/>
    <xf numFmtId="2" fontId="3" fillId="6" borderId="33" xfId="0" applyNumberFormat="1" applyFont="1" applyFill="1" applyBorder="1"/>
    <xf numFmtId="2" fontId="3" fillId="10" borderId="33" xfId="0" applyNumberFormat="1" applyFont="1" applyFill="1" applyBorder="1"/>
    <xf numFmtId="2" fontId="3" fillId="6"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6" borderId="40" xfId="0" applyFont="1" applyFill="1" applyBorder="1" applyAlignment="1">
      <alignment horizontal="center" vertical="center"/>
    </xf>
    <xf numFmtId="0" fontId="9" fillId="10"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0"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4" borderId="40" xfId="0" applyFont="1" applyFill="1" applyBorder="1" applyAlignment="1">
      <alignment vertical="top" wrapText="1"/>
    </xf>
    <xf numFmtId="0" fontId="3" fillId="0" borderId="25" xfId="0" applyFont="1" applyBorder="1"/>
    <xf numFmtId="3" fontId="3" fillId="6" borderId="13" xfId="0" applyNumberFormat="1" applyFont="1" applyFill="1" applyBorder="1" applyAlignment="1">
      <alignment vertical="center" wrapText="1"/>
    </xf>
    <xf numFmtId="3" fontId="3" fillId="6" borderId="13" xfId="0" applyNumberFormat="1" applyFont="1" applyFill="1" applyBorder="1" applyAlignment="1">
      <alignment vertical="center"/>
    </xf>
    <xf numFmtId="3" fontId="9" fillId="10"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0" borderId="40" xfId="0" applyFont="1" applyFill="1" applyBorder="1" applyAlignment="1">
      <alignment vertical="top" wrapText="1"/>
    </xf>
    <xf numFmtId="164" fontId="15" fillId="6" borderId="40" xfId="0" applyNumberFormat="1" applyFont="1" applyFill="1" applyBorder="1" applyAlignment="1">
      <alignment vertical="center" wrapText="1"/>
    </xf>
    <xf numFmtId="164" fontId="15" fillId="6" borderId="40" xfId="0" applyNumberFormat="1" applyFont="1" applyFill="1" applyBorder="1" applyAlignment="1">
      <alignment vertical="center"/>
    </xf>
    <xf numFmtId="164" fontId="16" fillId="10"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4"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6" borderId="45" xfId="0" applyNumberFormat="1" applyFont="1" applyFill="1" applyBorder="1" applyAlignment="1">
      <alignment vertical="center" wrapText="1"/>
    </xf>
    <xf numFmtId="164" fontId="9" fillId="10"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8" borderId="4" xfId="0" applyFont="1" applyFill="1" applyBorder="1" applyAlignment="1">
      <alignment horizontal="left" vertical="top" wrapText="1"/>
    </xf>
    <xf numFmtId="0" fontId="3" fillId="0" borderId="0" xfId="0" applyFont="1" applyAlignment="1">
      <alignment horizontal="center" vertical="center" wrapText="1"/>
    </xf>
    <xf numFmtId="0" fontId="10" fillId="4"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9" borderId="49" xfId="0" applyFont="1" applyFill="1" applyBorder="1" applyAlignment="1">
      <alignment vertical="center"/>
    </xf>
    <xf numFmtId="0" fontId="10" fillId="9" borderId="49" xfId="0" applyFont="1" applyFill="1" applyBorder="1" applyAlignment="1">
      <alignment vertical="center"/>
    </xf>
    <xf numFmtId="0" fontId="10" fillId="2" borderId="49" xfId="0" applyFont="1" applyFill="1" applyBorder="1" applyAlignment="1">
      <alignment vertical="center"/>
    </xf>
    <xf numFmtId="0" fontId="3" fillId="9" borderId="4" xfId="0" applyFont="1" applyFill="1" applyBorder="1"/>
    <xf numFmtId="0" fontId="9" fillId="10" borderId="40" xfId="0" applyFont="1" applyFill="1" applyBorder="1" applyAlignment="1">
      <alignment vertical="center"/>
    </xf>
    <xf numFmtId="0" fontId="9" fillId="2" borderId="4" xfId="0" applyFont="1" applyFill="1" applyBorder="1" applyAlignment="1">
      <alignment vertical="center"/>
    </xf>
    <xf numFmtId="0" fontId="9" fillId="9" borderId="4" xfId="0" applyFont="1" applyFill="1" applyBorder="1" applyAlignment="1">
      <alignment vertical="center"/>
    </xf>
    <xf numFmtId="0" fontId="22" fillId="11" borderId="49" xfId="0" applyFont="1" applyFill="1" applyBorder="1" applyAlignment="1">
      <alignment vertical="center"/>
    </xf>
    <xf numFmtId="0" fontId="10" fillId="11" borderId="49" xfId="0" applyFont="1" applyFill="1" applyBorder="1" applyAlignment="1">
      <alignment vertical="center"/>
    </xf>
    <xf numFmtId="0" fontId="3" fillId="11" borderId="4" xfId="0" applyFont="1" applyFill="1" applyBorder="1"/>
    <xf numFmtId="0" fontId="9" fillId="11"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6" borderId="13" xfId="0" applyFont="1" applyFill="1" applyBorder="1" applyAlignment="1">
      <alignment horizontal="center" vertical="center"/>
    </xf>
    <xf numFmtId="0" fontId="3" fillId="4" borderId="4" xfId="0" applyFont="1" applyFill="1" applyBorder="1" applyAlignment="1">
      <alignment horizontal="center"/>
    </xf>
    <xf numFmtId="0" fontId="3" fillId="6" borderId="4" xfId="0" applyFont="1" applyFill="1" applyBorder="1" applyAlignment="1">
      <alignment horizontal="left" vertical="top"/>
    </xf>
    <xf numFmtId="0" fontId="3" fillId="5" borderId="4" xfId="0" applyFont="1" applyFill="1" applyBorder="1"/>
    <xf numFmtId="0" fontId="9" fillId="6" borderId="40" xfId="0" applyFont="1" applyFill="1" applyBorder="1" applyAlignment="1">
      <alignment vertical="center"/>
    </xf>
    <xf numFmtId="0" fontId="9" fillId="5" borderId="4" xfId="0" applyFont="1" applyFill="1" applyBorder="1" applyAlignment="1">
      <alignment vertical="center"/>
    </xf>
    <xf numFmtId="0" fontId="25" fillId="9" borderId="4" xfId="0" applyFont="1" applyFill="1" applyBorder="1" applyAlignment="1">
      <alignment vertical="center"/>
    </xf>
    <xf numFmtId="0" fontId="21" fillId="9" borderId="4" xfId="0" applyFont="1" applyFill="1" applyBorder="1" applyAlignment="1">
      <alignment vertical="center"/>
    </xf>
    <xf numFmtId="0" fontId="26" fillId="9" borderId="4" xfId="0" applyFont="1" applyFill="1" applyBorder="1" applyAlignment="1">
      <alignment vertical="center"/>
    </xf>
    <xf numFmtId="0" fontId="10" fillId="13" borderId="40" xfId="0" applyFont="1" applyFill="1" applyBorder="1" applyAlignment="1">
      <alignment vertical="top" wrapText="1"/>
    </xf>
    <xf numFmtId="0" fontId="3" fillId="0" borderId="26" xfId="0" applyFont="1" applyBorder="1"/>
    <xf numFmtId="2" fontId="9" fillId="6" borderId="43" xfId="0" applyNumberFormat="1" applyFont="1" applyFill="1" applyBorder="1" applyAlignment="1">
      <alignment horizontal="center" vertical="center"/>
    </xf>
    <xf numFmtId="0" fontId="4" fillId="2" borderId="4" xfId="0" applyFont="1" applyFill="1" applyBorder="1" applyAlignment="1">
      <alignment vertical="center"/>
    </xf>
    <xf numFmtId="0" fontId="25" fillId="2" borderId="4" xfId="0" applyFont="1" applyFill="1" applyBorder="1" applyAlignment="1">
      <alignment vertical="center"/>
    </xf>
    <xf numFmtId="0" fontId="21" fillId="2" borderId="4" xfId="0" applyFont="1" applyFill="1" applyBorder="1" applyAlignment="1">
      <alignment vertical="center"/>
    </xf>
    <xf numFmtId="0" fontId="26" fillId="2" borderId="4" xfId="0" applyFont="1" applyFill="1" applyBorder="1" applyAlignment="1">
      <alignment vertical="center"/>
    </xf>
    <xf numFmtId="0" fontId="4" fillId="11" borderId="4" xfId="0" applyFont="1" applyFill="1" applyBorder="1" applyAlignment="1">
      <alignment vertical="center"/>
    </xf>
    <xf numFmtId="0" fontId="21" fillId="11" borderId="4" xfId="0" applyFont="1" applyFill="1" applyBorder="1" applyAlignment="1">
      <alignment vertical="center"/>
    </xf>
    <xf numFmtId="0" fontId="26" fillId="11" borderId="4" xfId="0" applyFont="1" applyFill="1" applyBorder="1" applyAlignment="1">
      <alignment vertical="center"/>
    </xf>
    <xf numFmtId="2" fontId="3" fillId="0" borderId="0" xfId="0" applyNumberFormat="1" applyFont="1"/>
    <xf numFmtId="0" fontId="3" fillId="0" borderId="0" xfId="0" quotePrefix="1" applyFont="1"/>
    <xf numFmtId="0" fontId="25" fillId="11" borderId="4" xfId="0" applyFont="1" applyFill="1" applyBorder="1" applyAlignment="1">
      <alignment vertical="center"/>
    </xf>
    <xf numFmtId="0" fontId="9" fillId="10" borderId="56" xfId="0" applyFont="1" applyFill="1" applyBorder="1" applyAlignment="1">
      <alignment vertical="center" wrapText="1"/>
    </xf>
    <xf numFmtId="0" fontId="27" fillId="6" borderId="57" xfId="0" applyFont="1" applyFill="1" applyBorder="1" applyAlignment="1">
      <alignment horizontal="left" vertical="center" wrapText="1"/>
    </xf>
    <xf numFmtId="0" fontId="27" fillId="6" borderId="58" xfId="0" applyFont="1" applyFill="1" applyBorder="1" applyAlignment="1">
      <alignment horizontal="left" vertical="center" wrapText="1"/>
    </xf>
    <xf numFmtId="0" fontId="27" fillId="6" borderId="43" xfId="0" applyFont="1" applyFill="1" applyBorder="1" applyAlignment="1">
      <alignment horizontal="left" vertical="center" wrapText="1"/>
    </xf>
    <xf numFmtId="0" fontId="3" fillId="6" borderId="56" xfId="0" applyFont="1" applyFill="1" applyBorder="1" applyAlignment="1">
      <alignment horizontal="left" vertical="top"/>
    </xf>
    <xf numFmtId="0" fontId="3" fillId="6" borderId="59" xfId="0" applyFont="1" applyFill="1" applyBorder="1" applyAlignment="1">
      <alignment horizontal="left" vertical="top"/>
    </xf>
    <xf numFmtId="0" fontId="9" fillId="6" borderId="56" xfId="0" applyFont="1" applyFill="1" applyBorder="1" applyAlignment="1">
      <alignment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7"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3" borderId="40" xfId="0" applyNumberFormat="1" applyFont="1" applyFill="1" applyBorder="1" applyAlignment="1">
      <alignment horizontal="center" vertical="center" wrapText="1"/>
    </xf>
    <xf numFmtId="0" fontId="27" fillId="10" borderId="40" xfId="0" applyFont="1" applyFill="1" applyBorder="1" applyAlignment="1">
      <alignment horizontal="left" vertical="center" wrapText="1"/>
    </xf>
    <xf numFmtId="2" fontId="9" fillId="5" borderId="40" xfId="0" applyNumberFormat="1" applyFont="1" applyFill="1" applyBorder="1" applyAlignment="1">
      <alignment horizontal="center" vertical="center" wrapText="1"/>
    </xf>
    <xf numFmtId="0" fontId="9" fillId="0" borderId="40" xfId="0" applyFont="1" applyBorder="1"/>
    <xf numFmtId="0" fontId="3" fillId="14" borderId="60" xfId="0" applyFont="1" applyFill="1" applyBorder="1"/>
    <xf numFmtId="0" fontId="3" fillId="15" borderId="60" xfId="0" applyFont="1" applyFill="1" applyBorder="1"/>
    <xf numFmtId="0" fontId="3" fillId="0" borderId="40" xfId="0" applyFont="1" applyBorder="1" applyAlignment="1">
      <alignment horizontal="center"/>
    </xf>
    <xf numFmtId="0" fontId="3" fillId="16"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2" fillId="0" borderId="0" xfId="0" applyFont="1"/>
    <xf numFmtId="0" fontId="1" fillId="2" borderId="4" xfId="0" applyFont="1" applyFill="1" applyBorder="1" applyAlignment="1">
      <alignment vertical="center"/>
    </xf>
    <xf numFmtId="0" fontId="10" fillId="4"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3" borderId="66" xfId="0" applyFont="1" applyFill="1" applyBorder="1" applyAlignment="1">
      <alignment vertical="top" wrapText="1"/>
    </xf>
    <xf numFmtId="0" fontId="22" fillId="17" borderId="66" xfId="0" applyFont="1" applyFill="1" applyBorder="1" applyAlignment="1">
      <alignment vertical="top" wrapText="1"/>
    </xf>
    <xf numFmtId="0" fontId="11" fillId="10" borderId="70" xfId="0" applyFont="1" applyFill="1" applyBorder="1" applyAlignment="1">
      <alignment vertical="center" wrapText="1"/>
    </xf>
    <xf numFmtId="0" fontId="3" fillId="0" borderId="26" xfId="0" applyFont="1" applyBorder="1" applyAlignment="1">
      <alignment wrapText="1"/>
    </xf>
    <xf numFmtId="0" fontId="3" fillId="10" borderId="70" xfId="0" applyFont="1" applyFill="1" applyBorder="1" applyAlignment="1">
      <alignment wrapText="1"/>
    </xf>
    <xf numFmtId="0" fontId="9" fillId="10"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0" borderId="70" xfId="0" applyNumberFormat="1" applyFont="1" applyFill="1" applyBorder="1" applyAlignment="1">
      <alignment horizontal="center" vertical="center"/>
    </xf>
    <xf numFmtId="0" fontId="3" fillId="6" borderId="70" xfId="0" applyFont="1" applyFill="1" applyBorder="1" applyAlignment="1">
      <alignment vertical="center" wrapText="1"/>
    </xf>
    <xf numFmtId="0" fontId="3" fillId="6" borderId="70" xfId="0" applyFont="1" applyFill="1" applyBorder="1" applyAlignment="1">
      <alignment wrapText="1"/>
    </xf>
    <xf numFmtId="0" fontId="9" fillId="6" borderId="70" xfId="0" applyFont="1" applyFill="1" applyBorder="1" applyAlignment="1">
      <alignment horizontal="center" vertical="center" wrapText="1"/>
    </xf>
    <xf numFmtId="2" fontId="9" fillId="6" borderId="70" xfId="0" applyNumberFormat="1" applyFont="1" applyFill="1" applyBorder="1" applyAlignment="1">
      <alignment horizontal="center" vertical="center"/>
    </xf>
    <xf numFmtId="0" fontId="3" fillId="10"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7" fillId="0" borderId="40" xfId="0" applyFont="1" applyBorder="1" applyAlignment="1">
      <alignment vertical="center" wrapText="1"/>
    </xf>
    <xf numFmtId="0" fontId="7" fillId="5" borderId="4" xfId="0" applyFont="1" applyFill="1" applyBorder="1" applyAlignment="1">
      <alignment vertical="top" wrapText="1"/>
    </xf>
    <xf numFmtId="0" fontId="14" fillId="6" borderId="4" xfId="0" applyFont="1" applyFill="1" applyBorder="1" applyAlignment="1">
      <alignment vertical="center"/>
    </xf>
    <xf numFmtId="0" fontId="9" fillId="10" borderId="4" xfId="0" applyFont="1" applyFill="1" applyBorder="1" applyAlignment="1">
      <alignment vertical="top" wrapText="1"/>
    </xf>
    <xf numFmtId="0" fontId="3" fillId="6" borderId="13" xfId="0" applyFont="1" applyFill="1" applyBorder="1"/>
    <xf numFmtId="0" fontId="3" fillId="6" borderId="13" xfId="0" applyFont="1" applyFill="1" applyBorder="1" applyAlignment="1">
      <alignment wrapText="1"/>
    </xf>
    <xf numFmtId="0" fontId="3" fillId="6" borderId="13" xfId="0" applyFont="1" applyFill="1" applyBorder="1" applyAlignment="1">
      <alignment vertical="top" wrapText="1"/>
    </xf>
    <xf numFmtId="0" fontId="9" fillId="0" borderId="0" xfId="0" applyFont="1"/>
    <xf numFmtId="0" fontId="4" fillId="9" borderId="48" xfId="0" applyFont="1" applyFill="1" applyBorder="1" applyAlignment="1">
      <alignment vertical="center"/>
    </xf>
    <xf numFmtId="0" fontId="37"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6" borderId="4" xfId="0" applyFont="1" applyFill="1" applyBorder="1" applyAlignment="1">
      <alignment horizontal="center"/>
    </xf>
    <xf numFmtId="0" fontId="13" fillId="0" borderId="0" xfId="0" applyFont="1" applyAlignment="1">
      <alignment horizontal="center" vertical="center" wrapText="1"/>
    </xf>
    <xf numFmtId="0" fontId="10" fillId="13" borderId="40" xfId="0" applyFont="1" applyFill="1" applyBorder="1" applyAlignment="1">
      <alignment horizontal="center" vertical="top" wrapText="1"/>
    </xf>
    <xf numFmtId="2" fontId="9" fillId="6" borderId="40" xfId="0" applyNumberFormat="1" applyFont="1" applyFill="1" applyBorder="1" applyAlignment="1">
      <alignment horizontal="center" vertical="center" wrapText="1"/>
    </xf>
    <xf numFmtId="2" fontId="9" fillId="10"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9"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1" borderId="4" xfId="0" applyFont="1" applyFill="1" applyBorder="1" applyAlignment="1">
      <alignment horizontal="center" vertical="center"/>
    </xf>
    <xf numFmtId="0" fontId="37" fillId="0" borderId="26" xfId="0" applyFont="1" applyBorder="1"/>
    <xf numFmtId="0" fontId="37" fillId="10" borderId="70" xfId="0" applyFont="1" applyFill="1" applyBorder="1" applyAlignment="1">
      <alignment horizontal="center" vertical="center" wrapText="1"/>
    </xf>
    <xf numFmtId="2" fontId="3" fillId="10" borderId="70" xfId="0" applyNumberFormat="1" applyFont="1" applyFill="1" applyBorder="1" applyAlignment="1">
      <alignment horizontal="center" vertical="center" wrapText="1"/>
    </xf>
    <xf numFmtId="0" fontId="3" fillId="6" borderId="70" xfId="0" applyFont="1" applyFill="1" applyBorder="1" applyAlignment="1">
      <alignment horizontal="center" vertical="center" wrapText="1"/>
    </xf>
    <xf numFmtId="2" fontId="3" fillId="6" borderId="70" xfId="0" applyNumberFormat="1" applyFont="1" applyFill="1" applyBorder="1" applyAlignment="1">
      <alignment horizontal="center" vertical="center" wrapText="1"/>
    </xf>
    <xf numFmtId="0" fontId="5" fillId="10" borderId="31" xfId="0" applyFont="1" applyFill="1" applyBorder="1" applyAlignment="1">
      <alignment horizontal="left"/>
    </xf>
    <xf numFmtId="0" fontId="2" fillId="0" borderId="32" xfId="0" applyFont="1" applyBorder="1"/>
    <xf numFmtId="0" fontId="5" fillId="6" borderId="31" xfId="0" applyFont="1" applyFill="1" applyBorder="1" applyAlignment="1">
      <alignment horizontal="left"/>
    </xf>
    <xf numFmtId="0" fontId="5" fillId="6" borderId="34" xfId="0" applyFont="1" applyFill="1" applyBorder="1" applyAlignment="1">
      <alignment horizontal="left"/>
    </xf>
    <xf numFmtId="0" fontId="2" fillId="0" borderId="35" xfId="0" applyFont="1" applyBorder="1"/>
    <xf numFmtId="0" fontId="14" fillId="5"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xf>
    <xf numFmtId="0" fontId="1" fillId="4" borderId="1" xfId="0" applyFont="1" applyFill="1" applyBorder="1" applyAlignment="1">
      <alignment horizontal="left" vertical="center"/>
    </xf>
    <xf numFmtId="0" fontId="7" fillId="5"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0" fillId="4" borderId="1" xfId="0" applyFont="1" applyFill="1" applyBorder="1" applyAlignment="1">
      <alignment horizontal="left" vertical="center"/>
    </xf>
    <xf numFmtId="0" fontId="10" fillId="8"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6"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7" fillId="6"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0" borderId="37" xfId="0" applyFont="1" applyFill="1" applyBorder="1" applyAlignment="1">
      <alignment horizontal="center" vertical="center" wrapText="1"/>
    </xf>
    <xf numFmtId="0" fontId="10" fillId="8"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3" fillId="10" borderId="37" xfId="0" applyFont="1" applyFill="1" applyBorder="1" applyAlignment="1">
      <alignment horizontal="left" vertical="top" wrapText="1"/>
    </xf>
    <xf numFmtId="0" fontId="3" fillId="10"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4" borderId="25" xfId="0" applyFont="1" applyFill="1" applyBorder="1" applyAlignment="1">
      <alignment horizontal="left" vertical="center"/>
    </xf>
    <xf numFmtId="0" fontId="17" fillId="10" borderId="25" xfId="0" applyFont="1" applyFill="1" applyBorder="1" applyAlignment="1">
      <alignment horizontal="left" vertical="center"/>
    </xf>
    <xf numFmtId="0" fontId="10" fillId="4"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0"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4" borderId="5" xfId="0" applyFont="1" applyFill="1" applyBorder="1" applyAlignment="1">
      <alignment horizontal="left" vertical="top" wrapText="1"/>
    </xf>
    <xf numFmtId="0" fontId="3" fillId="10" borderId="25" xfId="0" applyFont="1" applyFill="1" applyBorder="1" applyAlignment="1">
      <alignment horizontal="center" vertical="center"/>
    </xf>
    <xf numFmtId="0" fontId="9" fillId="10" borderId="25" xfId="0" applyFont="1" applyFill="1" applyBorder="1" applyAlignment="1">
      <alignment horizontal="center" vertical="center"/>
    </xf>
    <xf numFmtId="0" fontId="3" fillId="6"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5" borderId="41" xfId="0" applyFont="1" applyFill="1" applyBorder="1" applyAlignment="1">
      <alignment horizontal="left" vertical="top" wrapText="1"/>
    </xf>
    <xf numFmtId="0" fontId="2" fillId="0" borderId="42" xfId="0" applyFont="1" applyBorder="1"/>
    <xf numFmtId="0" fontId="3" fillId="10"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37" xfId="0" applyFont="1" applyFill="1" applyBorder="1" applyAlignment="1">
      <alignment horizontal="left" vertical="top"/>
    </xf>
    <xf numFmtId="0" fontId="37" fillId="6" borderId="37" xfId="0" applyFont="1" applyFill="1" applyBorder="1" applyAlignment="1">
      <alignment horizontal="left" vertical="top" wrapText="1"/>
    </xf>
    <xf numFmtId="0" fontId="3" fillId="0" borderId="0" xfId="0" applyFont="1" applyAlignment="1">
      <alignment horizontal="center"/>
    </xf>
    <xf numFmtId="0" fontId="10" fillId="4" borderId="1" xfId="0" applyFont="1" applyFill="1" applyBorder="1" applyAlignment="1">
      <alignment horizontal="center" vertical="center"/>
    </xf>
    <xf numFmtId="0" fontId="24" fillId="6" borderId="37" xfId="0" applyFont="1" applyFill="1" applyBorder="1" applyAlignment="1">
      <alignment horizontal="left" vertical="top" wrapText="1"/>
    </xf>
    <xf numFmtId="0" fontId="10" fillId="0" borderId="0" xfId="0" applyFont="1" applyAlignment="1">
      <alignment horizontal="left" vertical="center"/>
    </xf>
    <xf numFmtId="0" fontId="23" fillId="6" borderId="37" xfId="0" applyFont="1" applyFill="1" applyBorder="1" applyAlignment="1">
      <alignment vertical="center" wrapText="1"/>
    </xf>
    <xf numFmtId="0" fontId="23" fillId="0" borderId="0" xfId="0" applyFont="1" applyAlignment="1">
      <alignment vertical="center"/>
    </xf>
    <xf numFmtId="0" fontId="37" fillId="6" borderId="37" xfId="0" applyFont="1" applyFill="1" applyBorder="1" applyAlignment="1">
      <alignment horizontal="left" vertical="top"/>
    </xf>
    <xf numFmtId="0" fontId="24" fillId="6" borderId="37" xfId="0" applyFont="1" applyFill="1" applyBorder="1" applyAlignment="1">
      <alignment horizontal="left" vertical="top"/>
    </xf>
    <xf numFmtId="0" fontId="37" fillId="6"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6" borderId="37" xfId="0" applyFont="1" applyFill="1" applyBorder="1" applyAlignment="1">
      <alignment vertical="center"/>
    </xf>
    <xf numFmtId="0" fontId="3" fillId="6" borderId="37" xfId="0" applyFont="1" applyFill="1" applyBorder="1" applyAlignment="1">
      <alignment horizontal="center" wrapText="1"/>
    </xf>
    <xf numFmtId="0" fontId="24" fillId="10" borderId="37" xfId="0" applyFont="1" applyFill="1" applyBorder="1" applyAlignment="1">
      <alignment horizontal="left" vertical="top" wrapText="1"/>
    </xf>
    <xf numFmtId="0" fontId="9" fillId="10" borderId="37" xfId="0" quotePrefix="1" applyFont="1" applyFill="1" applyBorder="1" applyAlignment="1">
      <alignment horizontal="center" vertical="center" wrapText="1"/>
    </xf>
    <xf numFmtId="0" fontId="9" fillId="6" borderId="37" xfId="0" quotePrefix="1" applyFont="1" applyFill="1" applyBorder="1" applyAlignment="1">
      <alignment horizontal="center" vertical="center" wrapText="1"/>
    </xf>
    <xf numFmtId="0" fontId="37" fillId="10" borderId="37" xfId="0" applyFont="1" applyFill="1" applyBorder="1" applyAlignment="1">
      <alignment horizontal="left" vertical="top" wrapText="1"/>
    </xf>
    <xf numFmtId="0" fontId="9" fillId="10" borderId="37" xfId="0" applyFont="1" applyFill="1" applyBorder="1" applyAlignment="1">
      <alignment horizontal="center" vertical="center" wrapText="1"/>
    </xf>
    <xf numFmtId="0" fontId="3" fillId="10" borderId="37" xfId="0" applyFont="1" applyFill="1" applyBorder="1" applyAlignment="1">
      <alignment horizontal="center" wrapText="1"/>
    </xf>
    <xf numFmtId="0" fontId="9" fillId="6" borderId="37" xfId="0" applyFont="1" applyFill="1" applyBorder="1" applyAlignment="1">
      <alignment horizontal="center" vertical="center" wrapText="1"/>
    </xf>
    <xf numFmtId="0" fontId="3" fillId="10"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10" fillId="13" borderId="50" xfId="0" applyFont="1" applyFill="1" applyBorder="1" applyAlignment="1">
      <alignment horizontal="left" vertical="top" wrapText="1"/>
    </xf>
    <xf numFmtId="0" fontId="2" fillId="0" borderId="51" xfId="0" applyFont="1" applyBorder="1"/>
    <xf numFmtId="0" fontId="27" fillId="6" borderId="25" xfId="0" applyFont="1" applyFill="1" applyBorder="1" applyAlignment="1">
      <alignment horizontal="left" vertical="center" wrapText="1"/>
    </xf>
    <xf numFmtId="0" fontId="27" fillId="10" borderId="25" xfId="0" applyFont="1" applyFill="1" applyBorder="1" applyAlignment="1">
      <alignment horizontal="left" vertical="center" wrapText="1"/>
    </xf>
    <xf numFmtId="0" fontId="10" fillId="13" borderId="25" xfId="0" applyFont="1" applyFill="1" applyBorder="1" applyAlignment="1">
      <alignment horizontal="left" vertical="top" wrapText="1"/>
    </xf>
    <xf numFmtId="0" fontId="28" fillId="6" borderId="37" xfId="0" quotePrefix="1" applyFont="1" applyFill="1" applyBorder="1" applyAlignment="1">
      <alignment horizontal="center" vertical="center" wrapText="1"/>
    </xf>
    <xf numFmtId="0" fontId="3" fillId="0" borderId="25" xfId="0" applyFont="1" applyBorder="1" applyAlignment="1">
      <alignment horizontal="center"/>
    </xf>
    <xf numFmtId="0" fontId="3" fillId="6" borderId="37" xfId="0" applyFont="1" applyFill="1" applyBorder="1" applyAlignment="1">
      <alignment horizontal="left" wrapText="1"/>
    </xf>
    <xf numFmtId="0" fontId="4" fillId="11" borderId="1" xfId="0" applyFont="1" applyFill="1" applyBorder="1" applyAlignment="1">
      <alignment horizontal="left" vertical="center"/>
    </xf>
    <xf numFmtId="0" fontId="4" fillId="2" borderId="1" xfId="0" applyFont="1" applyFill="1" applyBorder="1" applyAlignment="1">
      <alignment horizontal="left" vertical="center"/>
    </xf>
    <xf numFmtId="0" fontId="10" fillId="12" borderId="25" xfId="0" applyFont="1" applyFill="1" applyBorder="1" applyAlignment="1">
      <alignment horizontal="left" vertical="top" wrapText="1"/>
    </xf>
    <xf numFmtId="0" fontId="4" fillId="9" borderId="1" xfId="0" applyFont="1" applyFill="1" applyBorder="1" applyAlignment="1">
      <alignment horizontal="left" vertical="center"/>
    </xf>
    <xf numFmtId="0" fontId="14" fillId="7"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10" fillId="13" borderId="52" xfId="0" applyFont="1" applyFill="1" applyBorder="1" applyAlignment="1">
      <alignment horizontal="left" vertical="top" wrapText="1"/>
    </xf>
    <xf numFmtId="0" fontId="2" fillId="0" borderId="53" xfId="0" applyFont="1" applyBorder="1"/>
    <xf numFmtId="0" fontId="2" fillId="0" borderId="54" xfId="0" applyFont="1" applyBorder="1"/>
    <xf numFmtId="0" fontId="3" fillId="10" borderId="37" xfId="0" applyFont="1" applyFill="1" applyBorder="1" applyAlignment="1">
      <alignment horizontal="left" vertical="top"/>
    </xf>
    <xf numFmtId="0" fontId="2" fillId="0" borderId="55" xfId="0" applyFont="1" applyBorder="1"/>
    <xf numFmtId="0" fontId="3" fillId="6" borderId="56" xfId="0" applyFont="1" applyFill="1" applyBorder="1" applyAlignment="1">
      <alignment horizontal="left" vertical="top" wrapText="1"/>
    </xf>
    <xf numFmtId="0" fontId="2" fillId="0" borderId="59" xfId="0" applyFont="1" applyBorder="1" applyAlignment="1">
      <alignment wrapText="1"/>
    </xf>
    <xf numFmtId="0" fontId="4" fillId="14" borderId="1" xfId="0" applyFont="1" applyFill="1" applyBorder="1" applyAlignment="1">
      <alignment horizontal="left" vertical="center"/>
    </xf>
    <xf numFmtId="0" fontId="9" fillId="0" borderId="25" xfId="0" applyFont="1" applyBorder="1" applyAlignment="1">
      <alignment horizontal="center" vertical="center"/>
    </xf>
    <xf numFmtId="0" fontId="9" fillId="0" borderId="25" xfId="0" applyFont="1" applyBorder="1" applyAlignment="1">
      <alignment horizontal="center"/>
    </xf>
    <xf numFmtId="2" fontId="9" fillId="6" borderId="25" xfId="0" applyNumberFormat="1" applyFont="1" applyFill="1" applyBorder="1" applyAlignment="1">
      <alignment horizontal="center" vertical="center"/>
    </xf>
    <xf numFmtId="0" fontId="10" fillId="13"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29"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7"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0" borderId="25" xfId="0" applyNumberFormat="1" applyFont="1" applyFill="1" applyBorder="1" applyAlignment="1">
      <alignment horizontal="center" vertical="center"/>
    </xf>
    <xf numFmtId="0" fontId="27" fillId="10"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7" fillId="6" borderId="67" xfId="0" applyFont="1" applyFill="1" applyBorder="1" applyAlignment="1">
      <alignment horizontal="left" vertical="center" wrapText="1"/>
    </xf>
    <xf numFmtId="0" fontId="27" fillId="10" borderId="67" xfId="0" applyFont="1" applyFill="1" applyBorder="1" applyAlignment="1">
      <alignment horizontal="center" vertical="center" wrapText="1"/>
    </xf>
    <xf numFmtId="0" fontId="10" fillId="4"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7" fillId="6" borderId="67" xfId="0" applyFont="1" applyFill="1" applyBorder="1" applyAlignment="1">
      <alignment horizontal="center"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33" fillId="4" borderId="1" xfId="0" applyFont="1" applyFill="1" applyBorder="1" applyAlignment="1">
      <alignment horizontal="left" vertical="center" wrapText="1"/>
    </xf>
    <xf numFmtId="0" fontId="7" fillId="5" borderId="5" xfId="0" applyFont="1" applyFill="1" applyBorder="1" applyAlignment="1">
      <alignment horizontal="center" vertical="top" wrapText="1"/>
    </xf>
  </cellXfs>
  <cellStyles count="1">
    <cellStyle name="Normal" xfId="0" builtinId="0"/>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dagascarredcross-my.sharepoint.com/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sheetData sheetId="1"/>
      <sheetData sheetId="2"/>
      <sheetData sheetId="3">
        <row r="16">
          <cell r="M16" t="str">
            <v>Cyclone</v>
          </cell>
        </row>
        <row r="32">
          <cell r="C32" t="str">
            <v xml:space="preserve">Epidémies </v>
          </cell>
        </row>
      </sheetData>
      <sheetData sheetId="4"/>
      <sheetData sheetId="5"/>
      <sheetData sheetId="6"/>
      <sheetData sheetId="7">
        <row r="15">
          <cell r="M15" t="str">
            <v>HIGH</v>
          </cell>
        </row>
        <row r="20">
          <cell r="M20" t="str">
            <v>HIGH</v>
          </cell>
        </row>
        <row r="24">
          <cell r="M24" t="str">
            <v>MOYENNE</v>
          </cell>
        </row>
        <row r="25">
          <cell r="M25" t="str">
            <v>MOYENNE</v>
          </cell>
        </row>
        <row r="39">
          <cell r="M39" t="str">
            <v>MOYENNE</v>
          </cell>
        </row>
        <row r="40">
          <cell r="M40" t="str">
            <v>MOYENNE</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zoomScale="81" zoomScaleNormal="81" workbookViewId="0">
      <selection activeCell="E78" sqref="E78"/>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202" t="s">
        <v>0</v>
      </c>
      <c r="B1" s="200"/>
      <c r="C1" s="200"/>
      <c r="D1" s="200"/>
      <c r="E1" s="200"/>
      <c r="F1" s="200"/>
      <c r="G1" s="200"/>
      <c r="H1" s="200"/>
      <c r="I1" s="201"/>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03" t="s">
        <v>1</v>
      </c>
      <c r="B3" s="200"/>
      <c r="C3" s="200"/>
      <c r="D3" s="200"/>
      <c r="E3" s="200"/>
      <c r="F3" s="200"/>
      <c r="G3" s="200"/>
      <c r="H3" s="200"/>
      <c r="I3" s="201"/>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04" t="s">
        <v>2</v>
      </c>
      <c r="B5" s="205"/>
      <c r="C5" s="206"/>
      <c r="D5" s="6"/>
      <c r="E5" s="7"/>
      <c r="F5" s="7"/>
      <c r="G5" s="7"/>
      <c r="H5" s="7"/>
      <c r="I5" s="7"/>
      <c r="J5" s="3"/>
      <c r="K5" s="5"/>
      <c r="L5" s="5"/>
      <c r="M5" s="5"/>
      <c r="N5" s="5"/>
      <c r="O5" s="5"/>
      <c r="P5" s="5"/>
      <c r="Q5" s="5"/>
      <c r="R5" s="5"/>
      <c r="S5" s="5"/>
      <c r="T5" s="5"/>
      <c r="U5" s="3"/>
      <c r="V5" s="3"/>
      <c r="W5" s="3"/>
      <c r="X5" s="3"/>
      <c r="Y5" s="3"/>
      <c r="Z5" s="3"/>
    </row>
    <row r="6" spans="1:26" ht="31.5" customHeight="1" x14ac:dyDescent="0.3">
      <c r="A6" s="207"/>
      <c r="B6" s="208"/>
      <c r="C6" s="209"/>
      <c r="D6" s="6"/>
      <c r="E6" s="8" t="s">
        <v>236</v>
      </c>
      <c r="F6" s="7"/>
      <c r="G6" s="9" t="s">
        <v>237</v>
      </c>
      <c r="H6" s="7"/>
      <c r="I6" s="7"/>
      <c r="J6" s="3"/>
      <c r="K6" s="5"/>
      <c r="L6" s="5"/>
      <c r="M6" s="5"/>
      <c r="N6" s="5"/>
      <c r="O6" s="5"/>
      <c r="P6" s="5"/>
      <c r="Q6" s="5"/>
      <c r="R6" s="5"/>
      <c r="S6" s="5"/>
      <c r="T6" s="5"/>
      <c r="U6" s="3"/>
      <c r="V6" s="3"/>
      <c r="W6" s="3"/>
      <c r="X6" s="3"/>
      <c r="Y6" s="3"/>
      <c r="Z6" s="3"/>
    </row>
    <row r="7" spans="1:26" ht="9.75" customHeight="1" x14ac:dyDescent="0.3">
      <c r="A7" s="207"/>
      <c r="B7" s="208"/>
      <c r="C7" s="209"/>
      <c r="D7" s="6"/>
      <c r="E7" s="10"/>
      <c r="F7" s="7"/>
      <c r="G7" s="7"/>
      <c r="H7" s="7"/>
      <c r="I7" s="7"/>
      <c r="J7" s="3"/>
      <c r="K7" s="5"/>
      <c r="L7" s="5"/>
      <c r="M7" s="5"/>
      <c r="N7" s="5"/>
      <c r="O7" s="5"/>
      <c r="P7" s="5"/>
      <c r="Q7" s="5"/>
      <c r="R7" s="5"/>
      <c r="S7" s="5"/>
      <c r="T7" s="5"/>
      <c r="U7" s="3"/>
      <c r="V7" s="3"/>
      <c r="W7" s="3"/>
      <c r="X7" s="3"/>
      <c r="Y7" s="3"/>
      <c r="Z7" s="3"/>
    </row>
    <row r="8" spans="1:26" ht="31.5" customHeight="1" x14ac:dyDescent="0.3">
      <c r="A8" s="207"/>
      <c r="B8" s="208"/>
      <c r="C8" s="209"/>
      <c r="D8" s="6"/>
      <c r="E8" s="9" t="s">
        <v>213</v>
      </c>
      <c r="F8" s="7"/>
      <c r="G8" s="9" t="s">
        <v>211</v>
      </c>
      <c r="H8" s="7"/>
      <c r="I8" s="7"/>
      <c r="J8" s="3"/>
      <c r="K8" s="5"/>
      <c r="L8" s="5"/>
      <c r="M8" s="5"/>
      <c r="N8" s="5"/>
      <c r="O8" s="5"/>
      <c r="P8" s="5"/>
      <c r="Q8" s="5"/>
      <c r="R8" s="5"/>
      <c r="S8" s="5"/>
      <c r="T8" s="5"/>
      <c r="U8" s="3"/>
      <c r="V8" s="3"/>
      <c r="W8" s="3"/>
      <c r="X8" s="3"/>
      <c r="Y8" s="3"/>
      <c r="Z8" s="3"/>
    </row>
    <row r="9" spans="1:26" ht="31.5" customHeight="1" x14ac:dyDescent="0.3">
      <c r="A9" s="207"/>
      <c r="B9" s="208"/>
      <c r="C9" s="209"/>
      <c r="D9" s="6"/>
      <c r="E9" s="10"/>
      <c r="F9" s="7"/>
      <c r="G9" s="7"/>
      <c r="H9" s="7"/>
      <c r="I9" s="7"/>
      <c r="J9" s="3"/>
      <c r="K9" s="5"/>
      <c r="L9" s="5"/>
      <c r="M9" s="5"/>
      <c r="N9" s="5"/>
      <c r="O9" s="5"/>
      <c r="P9" s="5"/>
      <c r="Q9" s="5"/>
      <c r="R9" s="5"/>
      <c r="S9" s="5"/>
      <c r="T9" s="5"/>
      <c r="U9" s="3"/>
      <c r="V9" s="3"/>
      <c r="W9" s="3"/>
      <c r="X9" s="3"/>
      <c r="Y9" s="3"/>
      <c r="Z9" s="3"/>
    </row>
    <row r="10" spans="1:26" ht="31.5" customHeight="1" x14ac:dyDescent="0.3">
      <c r="A10" s="207"/>
      <c r="B10" s="208"/>
      <c r="C10" s="209"/>
      <c r="D10" s="6"/>
      <c r="E10" s="11" t="s">
        <v>3</v>
      </c>
      <c r="F10" s="7"/>
      <c r="G10" s="11" t="s">
        <v>210</v>
      </c>
      <c r="H10" s="7"/>
      <c r="I10" s="7"/>
      <c r="J10" s="3"/>
      <c r="K10" s="5"/>
      <c r="L10" s="5"/>
      <c r="M10" s="5"/>
      <c r="N10" s="5"/>
      <c r="O10" s="5"/>
      <c r="P10" s="5"/>
      <c r="Q10" s="5"/>
      <c r="R10" s="5"/>
      <c r="S10" s="5"/>
      <c r="T10" s="5"/>
      <c r="U10" s="3"/>
      <c r="V10" s="3"/>
      <c r="W10" s="3"/>
      <c r="X10" s="3"/>
      <c r="Y10" s="3"/>
      <c r="Z10" s="3"/>
    </row>
    <row r="11" spans="1:26" ht="9.75" customHeight="1" x14ac:dyDescent="0.3">
      <c r="A11" s="207"/>
      <c r="B11" s="208"/>
      <c r="C11" s="209"/>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7"/>
      <c r="B12" s="208"/>
      <c r="C12" s="209"/>
      <c r="D12" s="6"/>
      <c r="E12" s="9" t="s">
        <v>214</v>
      </c>
      <c r="F12" s="7"/>
      <c r="G12" s="11" t="s">
        <v>258</v>
      </c>
      <c r="H12" s="7"/>
      <c r="I12" s="7"/>
      <c r="J12" s="3"/>
      <c r="K12" s="5"/>
      <c r="L12" s="5"/>
      <c r="M12" s="5"/>
      <c r="N12" s="5"/>
      <c r="O12" s="5"/>
      <c r="P12" s="5"/>
      <c r="Q12" s="5"/>
      <c r="R12" s="5"/>
      <c r="S12" s="5"/>
      <c r="T12" s="5"/>
      <c r="U12" s="3"/>
      <c r="V12" s="3"/>
      <c r="W12" s="3"/>
      <c r="X12" s="3"/>
      <c r="Y12" s="3"/>
      <c r="Z12" s="3"/>
    </row>
    <row r="13" spans="1:26" ht="9.75" customHeight="1" x14ac:dyDescent="0.3">
      <c r="A13" s="207"/>
      <c r="B13" s="208"/>
      <c r="C13" s="209"/>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7"/>
      <c r="B14" s="208"/>
      <c r="C14" s="209"/>
      <c r="D14" s="6"/>
      <c r="E14" s="9" t="s">
        <v>215</v>
      </c>
      <c r="F14" s="7"/>
      <c r="G14" s="9" t="s">
        <v>257</v>
      </c>
      <c r="H14" s="7"/>
      <c r="I14" s="7"/>
      <c r="J14" s="3"/>
      <c r="K14" s="5"/>
      <c r="L14" s="5"/>
      <c r="M14" s="5"/>
      <c r="N14" s="5"/>
      <c r="O14" s="5"/>
      <c r="P14" s="5"/>
      <c r="Q14" s="5"/>
      <c r="R14" s="5"/>
      <c r="S14" s="5"/>
      <c r="T14" s="5"/>
      <c r="U14" s="3"/>
      <c r="V14" s="3"/>
      <c r="W14" s="3"/>
      <c r="X14" s="3"/>
      <c r="Y14" s="3"/>
      <c r="Z14" s="3"/>
    </row>
    <row r="15" spans="1:26" ht="9.75" customHeight="1" x14ac:dyDescent="0.3">
      <c r="A15" s="207"/>
      <c r="B15" s="208"/>
      <c r="C15" s="209"/>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7"/>
      <c r="B16" s="208"/>
      <c r="C16" s="209"/>
      <c r="D16" s="6"/>
      <c r="E16" s="9" t="s">
        <v>4</v>
      </c>
      <c r="F16" s="7"/>
      <c r="G16" s="9" t="s">
        <v>5</v>
      </c>
      <c r="H16" s="7"/>
      <c r="I16" s="7"/>
      <c r="J16" s="3"/>
      <c r="K16" s="5"/>
      <c r="L16" s="5"/>
      <c r="M16" s="5"/>
      <c r="N16" s="5"/>
      <c r="O16" s="5"/>
      <c r="P16" s="5"/>
      <c r="Q16" s="5"/>
      <c r="R16" s="5"/>
      <c r="S16" s="5"/>
      <c r="T16" s="5"/>
      <c r="U16" s="3"/>
      <c r="V16" s="3"/>
      <c r="W16" s="3"/>
      <c r="X16" s="3"/>
      <c r="Y16" s="3"/>
      <c r="Z16" s="3"/>
    </row>
    <row r="17" spans="1:26" ht="9.75" customHeight="1" x14ac:dyDescent="0.3">
      <c r="A17" s="210"/>
      <c r="B17" s="211"/>
      <c r="C17" s="212"/>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202" t="s">
        <v>6</v>
      </c>
      <c r="B19" s="200"/>
      <c r="C19" s="200"/>
      <c r="D19" s="200"/>
      <c r="E19" s="200"/>
      <c r="F19" s="200"/>
      <c r="G19" s="200"/>
      <c r="H19" s="200"/>
      <c r="I19" s="201"/>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13" t="s">
        <v>7</v>
      </c>
      <c r="D21" s="200"/>
      <c r="E21" s="200"/>
      <c r="F21" s="200"/>
      <c r="G21" s="201"/>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14" t="s">
        <v>8</v>
      </c>
      <c r="D22" s="215"/>
      <c r="E22" s="215"/>
      <c r="F22" s="215"/>
      <c r="G22" s="216"/>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17" t="s">
        <v>271</v>
      </c>
      <c r="D24" s="218"/>
      <c r="E24" s="218"/>
      <c r="F24" s="218"/>
      <c r="G24" s="219"/>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20"/>
      <c r="D25" s="221"/>
      <c r="E25" s="221"/>
      <c r="F25" s="221"/>
      <c r="G25" s="222"/>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20"/>
      <c r="D26" s="221"/>
      <c r="E26" s="221"/>
      <c r="F26" s="221"/>
      <c r="G26" s="222"/>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20"/>
      <c r="D27" s="221"/>
      <c r="E27" s="221"/>
      <c r="F27" s="221"/>
      <c r="G27" s="222"/>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20"/>
      <c r="D28" s="221"/>
      <c r="E28" s="221"/>
      <c r="F28" s="221"/>
      <c r="G28" s="222"/>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20"/>
      <c r="D29" s="221"/>
      <c r="E29" s="221"/>
      <c r="F29" s="221"/>
      <c r="G29" s="222"/>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20"/>
      <c r="D30" s="221"/>
      <c r="E30" s="221"/>
      <c r="F30" s="221"/>
      <c r="G30" s="222"/>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20"/>
      <c r="D31" s="221"/>
      <c r="E31" s="221"/>
      <c r="F31" s="221"/>
      <c r="G31" s="222"/>
      <c r="H31" s="3"/>
      <c r="I31" s="15"/>
      <c r="J31" s="3"/>
      <c r="K31" s="5"/>
      <c r="L31" s="5"/>
      <c r="M31" s="5"/>
      <c r="N31" s="5"/>
      <c r="O31" s="5"/>
      <c r="P31" s="5"/>
      <c r="Q31" s="5"/>
      <c r="R31" s="5"/>
      <c r="S31" s="5"/>
      <c r="T31" s="5"/>
      <c r="U31" s="3"/>
      <c r="V31" s="3"/>
      <c r="W31" s="3"/>
      <c r="X31" s="3"/>
      <c r="Y31" s="3"/>
      <c r="Z31" s="3"/>
    </row>
    <row r="32" spans="1:26" ht="147" customHeight="1" x14ac:dyDescent="0.3">
      <c r="A32" s="15" t="s">
        <v>9</v>
      </c>
      <c r="B32" s="3"/>
      <c r="C32" s="223"/>
      <c r="D32" s="224"/>
      <c r="E32" s="224"/>
      <c r="F32" s="224"/>
      <c r="G32" s="225"/>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196" t="s">
        <v>10</v>
      </c>
      <c r="L35" s="197"/>
      <c r="M35" s="197"/>
      <c r="N35" s="197"/>
      <c r="O35" s="197"/>
      <c r="P35" s="197"/>
      <c r="Q35" s="197"/>
      <c r="R35" s="198"/>
      <c r="S35" s="5"/>
      <c r="T35" s="5"/>
      <c r="U35" s="3"/>
      <c r="V35" s="3"/>
      <c r="W35" s="3"/>
      <c r="X35" s="3"/>
      <c r="Y35" s="3"/>
      <c r="Z35" s="3"/>
    </row>
    <row r="36" spans="1:26" ht="39.75" customHeight="1" x14ac:dyDescent="0.3">
      <c r="A36" s="199" t="s">
        <v>11</v>
      </c>
      <c r="B36" s="200"/>
      <c r="C36" s="200"/>
      <c r="D36" s="200"/>
      <c r="E36" s="200"/>
      <c r="F36" s="200"/>
      <c r="G36" s="200"/>
      <c r="H36" s="200"/>
      <c r="I36" s="201"/>
      <c r="J36" s="3"/>
      <c r="K36" s="17"/>
      <c r="L36" s="18" t="s">
        <v>12</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tr">
        <f>'3. Dangers'!C16:K16</f>
        <v xml:space="preserve">Inondation </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194" t="s">
        <v>13</v>
      </c>
      <c r="D40" s="195"/>
      <c r="E40" s="24" t="s">
        <v>14</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191" t="s">
        <v>15</v>
      </c>
      <c r="D41" s="190"/>
      <c r="E41" s="25" t="str">
        <f>'[1]7. Risque'!$M$15</f>
        <v>HIGH</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189" t="s">
        <v>16</v>
      </c>
      <c r="D42" s="190"/>
      <c r="E42" s="26" t="s">
        <v>151</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191" t="s">
        <v>17</v>
      </c>
      <c r="D43" s="190"/>
      <c r="E43" s="25" t="s">
        <v>149</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189" t="s">
        <v>18</v>
      </c>
      <c r="D44" s="190"/>
      <c r="E44" s="26" t="s">
        <v>151</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191" t="s">
        <v>19</v>
      </c>
      <c r="D45" s="190"/>
      <c r="E45" s="25" t="s">
        <v>151</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189" t="s">
        <v>20</v>
      </c>
      <c r="D46" s="190"/>
      <c r="E46" s="26" t="s">
        <v>151</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191" t="s">
        <v>21</v>
      </c>
      <c r="D47" s="190"/>
      <c r="E47" s="25" t="str">
        <f>'[1]7. Risque'!M24</f>
        <v>MOYENNE</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189" t="s">
        <v>22</v>
      </c>
      <c r="D48" s="190"/>
      <c r="E48" s="26" t="str">
        <f>'[1]7. Risque'!M20</f>
        <v>HIGH</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191" t="s">
        <v>23</v>
      </c>
      <c r="D49" s="190"/>
      <c r="E49" s="25" t="s">
        <v>151</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189" t="s">
        <v>24</v>
      </c>
      <c r="D50" s="190"/>
      <c r="E50" s="26" t="s">
        <v>151</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192" t="s">
        <v>25</v>
      </c>
      <c r="D51" s="193"/>
      <c r="E51" s="27" t="str">
        <f>'[1]7. Risque'!$M$25</f>
        <v>MOYENNE</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70"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194" t="s">
        <v>13</v>
      </c>
      <c r="D54" s="195"/>
      <c r="E54" s="24" t="s">
        <v>14</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191" t="s">
        <v>15</v>
      </c>
      <c r="D55" s="190"/>
      <c r="E55" s="25" t="s">
        <v>149</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189" t="s">
        <v>16</v>
      </c>
      <c r="D56" s="190"/>
      <c r="E56" s="26" t="s">
        <v>151</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191" t="s">
        <v>17</v>
      </c>
      <c r="D57" s="190"/>
      <c r="E57" s="25" t="s">
        <v>149</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189" t="s">
        <v>18</v>
      </c>
      <c r="D58" s="190"/>
      <c r="E58" s="26" t="s">
        <v>151</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191" t="s">
        <v>19</v>
      </c>
      <c r="D59" s="190"/>
      <c r="E59" s="25" t="s">
        <v>151</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189" t="s">
        <v>20</v>
      </c>
      <c r="D60" s="190"/>
      <c r="E60" s="26" t="s">
        <v>151</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191" t="s">
        <v>21</v>
      </c>
      <c r="D61" s="190"/>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189" t="s">
        <v>22</v>
      </c>
      <c r="D62" s="190"/>
      <c r="E62" s="26" t="s">
        <v>149</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191" t="s">
        <v>23</v>
      </c>
      <c r="D63" s="190"/>
      <c r="E63" s="25" t="s">
        <v>151</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189" t="s">
        <v>24</v>
      </c>
      <c r="D64" s="190"/>
      <c r="E64" s="26" t="s">
        <v>151</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192" t="s">
        <v>25</v>
      </c>
      <c r="D65" s="193"/>
      <c r="E65" s="27" t="str">
        <f>'[1]7. Risque'!$M$40</f>
        <v>MOYENNE</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70"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194" t="s">
        <v>13</v>
      </c>
      <c r="D68" s="195"/>
      <c r="E68" s="24" t="s">
        <v>14</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191" t="s">
        <v>15</v>
      </c>
      <c r="D69" s="190"/>
      <c r="E69" s="25" t="s">
        <v>149</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189" t="s">
        <v>16</v>
      </c>
      <c r="D70" s="190"/>
      <c r="E70" s="26" t="s">
        <v>149</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191" t="s">
        <v>17</v>
      </c>
      <c r="D71" s="190"/>
      <c r="E71" s="25" t="s">
        <v>149</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189" t="s">
        <v>18</v>
      </c>
      <c r="D72" s="190"/>
      <c r="E72" s="26" t="s">
        <v>151</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191" t="s">
        <v>19</v>
      </c>
      <c r="D73" s="190"/>
      <c r="E73" s="25" t="s">
        <v>151</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189" t="s">
        <v>20</v>
      </c>
      <c r="D74" s="190"/>
      <c r="E74" s="26" t="s">
        <v>149</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191" t="s">
        <v>21</v>
      </c>
      <c r="D75" s="190"/>
      <c r="E75" s="25" t="s">
        <v>151</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189" t="s">
        <v>22</v>
      </c>
      <c r="D76" s="190"/>
      <c r="E76" s="26" t="s">
        <v>149</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191" t="s">
        <v>23</v>
      </c>
      <c r="D77" s="190"/>
      <c r="E77" s="25" t="s">
        <v>151</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189" t="s">
        <v>24</v>
      </c>
      <c r="D78" s="190"/>
      <c r="E78" s="26" t="s">
        <v>151</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192" t="s">
        <v>25</v>
      </c>
      <c r="D79" s="193"/>
      <c r="E79" s="27" t="s">
        <v>149</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12" customHeight="1" x14ac:dyDescent="0.3">
      <c r="A81" s="3"/>
      <c r="B81" s="3"/>
      <c r="C81" s="3"/>
      <c r="D81" s="3"/>
      <c r="E81" s="3"/>
      <c r="F81" s="3"/>
      <c r="G81" s="3"/>
      <c r="H81" s="3"/>
      <c r="I81" s="3"/>
      <c r="J81" s="3"/>
      <c r="K81" s="5"/>
      <c r="L81" s="5"/>
      <c r="M81" s="5"/>
      <c r="N81" s="5"/>
      <c r="O81" s="5"/>
      <c r="P81" s="5"/>
      <c r="Q81" s="5"/>
      <c r="R81" s="5"/>
      <c r="S81" s="5"/>
      <c r="T81" s="5"/>
      <c r="U81" s="3"/>
      <c r="V81" s="3"/>
      <c r="W81" s="3"/>
      <c r="X81" s="3"/>
      <c r="Y81" s="3"/>
      <c r="Z81" s="3"/>
    </row>
    <row r="82" spans="1:26" ht="12" customHeight="1" x14ac:dyDescent="0.3">
      <c r="A82" s="3"/>
      <c r="B82" s="3"/>
      <c r="C82" s="3"/>
      <c r="D82" s="3"/>
      <c r="E82" s="3"/>
      <c r="F82" s="3"/>
      <c r="G82" s="3"/>
      <c r="H82" s="3"/>
      <c r="I82" s="3"/>
      <c r="J82" s="3"/>
      <c r="K82" s="5"/>
      <c r="L82" s="5"/>
      <c r="M82" s="5"/>
      <c r="N82" s="5"/>
      <c r="O82" s="5"/>
      <c r="P82" s="5"/>
      <c r="Q82" s="5"/>
      <c r="R82" s="5"/>
      <c r="S82" s="5"/>
      <c r="T82" s="5"/>
      <c r="U82" s="3"/>
      <c r="V82" s="3"/>
      <c r="W82" s="3"/>
      <c r="X82" s="3"/>
      <c r="Y82" s="3"/>
      <c r="Z82" s="3"/>
    </row>
    <row r="83" spans="1:26" ht="12" customHeight="1" x14ac:dyDescent="0.3">
      <c r="A83" s="3"/>
      <c r="B83" s="3"/>
      <c r="C83" s="3"/>
      <c r="D83" s="3"/>
      <c r="E83" s="3"/>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3"/>
      <c r="D84" s="3"/>
      <c r="E84" s="3"/>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3"/>
      <c r="D85" s="3"/>
      <c r="E85" s="3"/>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3"/>
      <c r="D86" s="3"/>
      <c r="E86" s="3"/>
      <c r="F86" s="3"/>
      <c r="G86" s="3"/>
      <c r="H86" s="3"/>
      <c r="I86" s="3"/>
      <c r="J86" s="3"/>
      <c r="K86" s="5"/>
      <c r="L86" s="5"/>
      <c r="M86" s="5"/>
      <c r="N86" s="5"/>
      <c r="O86" s="5"/>
      <c r="P86" s="5"/>
      <c r="Q86" s="5"/>
      <c r="R86" s="5"/>
      <c r="S86" s="5"/>
      <c r="T86" s="5"/>
      <c r="U86" s="3"/>
      <c r="V86" s="3"/>
      <c r="W86" s="3"/>
      <c r="X86" s="3"/>
      <c r="Y86" s="3"/>
      <c r="Z86" s="3"/>
    </row>
    <row r="87" spans="1:26" ht="12" customHeight="1" x14ac:dyDescent="0.3">
      <c r="A87" s="3"/>
      <c r="B87" s="3"/>
      <c r="C87" s="3"/>
      <c r="D87" s="3"/>
      <c r="E87" s="3"/>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3"/>
      <c r="D88" s="3"/>
      <c r="E88" s="3"/>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3"/>
      <c r="D89" s="3"/>
      <c r="E89" s="3"/>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3"/>
      <c r="D90" s="3"/>
      <c r="E90" s="3"/>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3"/>
      <c r="D91" s="3"/>
      <c r="E91" s="3"/>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3"/>
      <c r="D92" s="3"/>
      <c r="E92" s="3"/>
      <c r="F92" s="3"/>
      <c r="G92" s="3"/>
      <c r="H92" s="3"/>
      <c r="I92" s="3"/>
      <c r="J92" s="3"/>
      <c r="K92" s="5"/>
      <c r="L92" s="5"/>
      <c r="M92" s="5"/>
      <c r="N92" s="5"/>
      <c r="O92" s="5"/>
      <c r="P92" s="5"/>
      <c r="Q92" s="5"/>
      <c r="R92" s="5"/>
      <c r="S92" s="5"/>
      <c r="T92" s="5"/>
      <c r="U92" s="3"/>
      <c r="V92" s="3"/>
      <c r="W92" s="3"/>
      <c r="X92" s="3"/>
      <c r="Y92" s="3"/>
      <c r="Z92" s="3"/>
    </row>
    <row r="93" spans="1:26" ht="12" customHeight="1" x14ac:dyDescent="0.3">
      <c r="A93" s="3"/>
      <c r="B93" s="3"/>
      <c r="C93" s="3"/>
      <c r="D93" s="3"/>
      <c r="E93" s="3"/>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row r="988" spans="1:26" ht="12" customHeight="1" x14ac:dyDescent="0.3">
      <c r="A988" s="3"/>
      <c r="B988" s="3"/>
      <c r="C988" s="3"/>
      <c r="D988" s="3"/>
      <c r="E988" s="3"/>
      <c r="F988" s="3"/>
      <c r="G988" s="3"/>
      <c r="H988" s="3"/>
      <c r="I988" s="3"/>
      <c r="J988" s="3"/>
      <c r="K988" s="5"/>
      <c r="L988" s="5"/>
      <c r="M988" s="5"/>
      <c r="N988" s="5"/>
      <c r="O988" s="5"/>
      <c r="P988" s="5"/>
      <c r="Q988" s="5"/>
      <c r="R988" s="5"/>
      <c r="S988" s="5"/>
      <c r="T988" s="5"/>
      <c r="U988" s="3"/>
      <c r="V988" s="3"/>
      <c r="W988" s="3"/>
      <c r="X988" s="3"/>
      <c r="Y988" s="3"/>
      <c r="Z988" s="3"/>
    </row>
    <row r="989" spans="1:26" ht="12" customHeight="1" x14ac:dyDescent="0.3">
      <c r="A989" s="3"/>
      <c r="B989" s="3"/>
      <c r="C989" s="3"/>
      <c r="D989" s="3"/>
      <c r="E989" s="3"/>
      <c r="F989" s="3"/>
      <c r="G989" s="3"/>
      <c r="H989" s="3"/>
      <c r="I989" s="3"/>
      <c r="J989" s="3"/>
      <c r="K989" s="5"/>
      <c r="L989" s="5"/>
      <c r="M989" s="5"/>
      <c r="N989" s="5"/>
      <c r="O989" s="5"/>
      <c r="P989" s="5"/>
      <c r="Q989" s="5"/>
      <c r="R989" s="5"/>
      <c r="S989" s="5"/>
      <c r="T989" s="5"/>
      <c r="U989" s="3"/>
      <c r="V989" s="3"/>
      <c r="W989" s="3"/>
      <c r="X989" s="3"/>
      <c r="Y989" s="3"/>
      <c r="Z989" s="3"/>
    </row>
    <row r="990" spans="1:26" ht="12" customHeight="1" x14ac:dyDescent="0.3">
      <c r="A990" s="3"/>
      <c r="B990" s="3"/>
      <c r="C990" s="3"/>
      <c r="D990" s="3"/>
      <c r="E990" s="3"/>
      <c r="F990" s="3"/>
      <c r="G990" s="3"/>
      <c r="H990" s="3"/>
      <c r="I990" s="3"/>
      <c r="J990" s="3"/>
      <c r="K990" s="5"/>
      <c r="L990" s="5"/>
      <c r="M990" s="5"/>
      <c r="N990" s="5"/>
      <c r="O990" s="5"/>
      <c r="P990" s="5"/>
      <c r="Q990" s="5"/>
      <c r="R990" s="5"/>
      <c r="S990" s="5"/>
      <c r="T990" s="5"/>
      <c r="U990" s="3"/>
      <c r="V990" s="3"/>
      <c r="W990" s="3"/>
      <c r="X990" s="3"/>
      <c r="Y990" s="3"/>
      <c r="Z990" s="3"/>
    </row>
    <row r="991" spans="1:26" ht="12" customHeight="1" x14ac:dyDescent="0.3">
      <c r="A991" s="3"/>
      <c r="B991" s="3"/>
      <c r="C991" s="3"/>
      <c r="D991" s="3"/>
      <c r="E991" s="3"/>
      <c r="F991" s="3"/>
      <c r="G991" s="3"/>
      <c r="H991" s="3"/>
      <c r="I991" s="3"/>
      <c r="J991" s="3"/>
      <c r="K991" s="5"/>
      <c r="L991" s="5"/>
      <c r="M991" s="5"/>
      <c r="N991" s="5"/>
      <c r="O991" s="5"/>
      <c r="P991" s="5"/>
      <c r="Q991" s="5"/>
      <c r="R991" s="5"/>
      <c r="S991" s="5"/>
      <c r="T991" s="5"/>
      <c r="U991" s="3"/>
      <c r="V991" s="3"/>
      <c r="W991" s="3"/>
      <c r="X991" s="3"/>
      <c r="Y991" s="3"/>
      <c r="Z991" s="3"/>
    </row>
    <row r="992" spans="1:26" ht="12" customHeight="1" x14ac:dyDescent="0.3">
      <c r="A992" s="3"/>
      <c r="B992" s="3"/>
      <c r="C992" s="3"/>
      <c r="D992" s="3"/>
      <c r="E992" s="3"/>
      <c r="F992" s="3"/>
      <c r="G992" s="3"/>
      <c r="H992" s="3"/>
      <c r="I992" s="3"/>
      <c r="J992" s="3"/>
      <c r="K992" s="5"/>
      <c r="L992" s="5"/>
      <c r="M992" s="5"/>
      <c r="N992" s="5"/>
      <c r="O992" s="5"/>
      <c r="P992" s="5"/>
      <c r="Q992" s="5"/>
      <c r="R992" s="5"/>
      <c r="S992" s="5"/>
      <c r="T992" s="5"/>
      <c r="U992" s="3"/>
      <c r="V992" s="3"/>
      <c r="W992" s="3"/>
      <c r="X992" s="3"/>
      <c r="Y992" s="3"/>
      <c r="Z992" s="3"/>
    </row>
    <row r="993" spans="1:26" ht="12" customHeight="1" x14ac:dyDescent="0.3">
      <c r="A993" s="3"/>
      <c r="B993" s="3"/>
      <c r="C993" s="3"/>
      <c r="D993" s="3"/>
      <c r="E993" s="3"/>
      <c r="F993" s="3"/>
      <c r="G993" s="3"/>
      <c r="H993" s="3"/>
      <c r="I993" s="3"/>
      <c r="J993" s="3"/>
      <c r="K993" s="5"/>
      <c r="L993" s="5"/>
      <c r="M993" s="5"/>
      <c r="N993" s="5"/>
      <c r="O993" s="5"/>
      <c r="P993" s="5"/>
      <c r="Q993" s="5"/>
      <c r="R993" s="5"/>
      <c r="S993" s="5"/>
      <c r="T993" s="5"/>
      <c r="U993" s="3"/>
      <c r="V993" s="3"/>
      <c r="W993" s="3"/>
      <c r="X993" s="3"/>
      <c r="Y993" s="3"/>
      <c r="Z993" s="3"/>
    </row>
    <row r="994" spans="1:26" ht="12" customHeight="1" x14ac:dyDescent="0.3">
      <c r="A994" s="3"/>
      <c r="B994" s="3"/>
      <c r="C994" s="3"/>
      <c r="D994" s="3"/>
      <c r="E994" s="3"/>
      <c r="F994" s="3"/>
      <c r="G994" s="3"/>
      <c r="H994" s="3"/>
      <c r="I994" s="3"/>
      <c r="J994" s="3"/>
      <c r="K994" s="5"/>
      <c r="L994" s="5"/>
      <c r="M994" s="5"/>
      <c r="N994" s="5"/>
      <c r="O994" s="5"/>
      <c r="P994" s="5"/>
      <c r="Q994" s="5"/>
      <c r="R994" s="5"/>
      <c r="S994" s="5"/>
      <c r="T994" s="5"/>
      <c r="U994" s="3"/>
      <c r="V994" s="3"/>
      <c r="W994" s="3"/>
      <c r="X994" s="3"/>
      <c r="Y994" s="3"/>
      <c r="Z994" s="3"/>
    </row>
    <row r="995" spans="1:26" ht="12" customHeight="1" x14ac:dyDescent="0.3">
      <c r="A995" s="3"/>
      <c r="B995" s="3"/>
      <c r="C995" s="3"/>
      <c r="D995" s="3"/>
      <c r="E995" s="3"/>
      <c r="F995" s="3"/>
      <c r="G995" s="3"/>
      <c r="H995" s="3"/>
      <c r="I995" s="3"/>
      <c r="J995" s="3"/>
      <c r="K995" s="5"/>
      <c r="L995" s="5"/>
      <c r="M995" s="5"/>
      <c r="N995" s="5"/>
      <c r="O995" s="5"/>
      <c r="P995" s="5"/>
      <c r="Q995" s="5"/>
      <c r="R995" s="5"/>
      <c r="S995" s="5"/>
      <c r="T995" s="5"/>
      <c r="U995" s="3"/>
      <c r="V995" s="3"/>
      <c r="W995" s="3"/>
      <c r="X995" s="3"/>
      <c r="Y995" s="3"/>
      <c r="Z995" s="3"/>
    </row>
    <row r="996" spans="1:26" ht="12" customHeight="1" x14ac:dyDescent="0.3">
      <c r="A996" s="3"/>
      <c r="B996" s="3"/>
      <c r="C996" s="3"/>
      <c r="D996" s="3"/>
      <c r="E996" s="3"/>
      <c r="F996" s="3"/>
      <c r="G996" s="3"/>
      <c r="H996" s="3"/>
      <c r="I996" s="3"/>
      <c r="J996" s="3"/>
      <c r="K996" s="5"/>
      <c r="L996" s="5"/>
      <c r="M996" s="5"/>
      <c r="N996" s="5"/>
      <c r="O996" s="5"/>
      <c r="P996" s="5"/>
      <c r="Q996" s="5"/>
      <c r="R996" s="5"/>
      <c r="S996" s="5"/>
      <c r="T996" s="5"/>
      <c r="U996" s="3"/>
      <c r="V996" s="3"/>
      <c r="W996" s="3"/>
      <c r="X996" s="3"/>
      <c r="Y996" s="3"/>
      <c r="Z996" s="3"/>
    </row>
    <row r="997" spans="1:26" ht="12" customHeight="1" x14ac:dyDescent="0.3">
      <c r="A997" s="3"/>
      <c r="B997" s="3"/>
      <c r="C997" s="3"/>
      <c r="D997" s="3"/>
      <c r="E997" s="3"/>
      <c r="F997" s="3"/>
      <c r="G997" s="3"/>
      <c r="H997" s="3"/>
      <c r="I997" s="3"/>
      <c r="J997" s="3"/>
      <c r="K997" s="5"/>
      <c r="L997" s="5"/>
      <c r="M997" s="5"/>
      <c r="N997" s="5"/>
      <c r="O997" s="5"/>
      <c r="P997" s="5"/>
      <c r="Q997" s="5"/>
      <c r="R997" s="5"/>
      <c r="S997" s="5"/>
      <c r="T997" s="5"/>
      <c r="U997" s="3"/>
      <c r="V997" s="3"/>
      <c r="W997" s="3"/>
      <c r="X997" s="3"/>
      <c r="Y997" s="3"/>
      <c r="Z997" s="3"/>
    </row>
    <row r="998" spans="1:26" ht="12" customHeight="1" x14ac:dyDescent="0.3">
      <c r="A998" s="3"/>
      <c r="B998" s="3"/>
      <c r="C998" s="3"/>
      <c r="D998" s="3"/>
      <c r="E998" s="3"/>
      <c r="F998" s="3"/>
      <c r="G998" s="3"/>
      <c r="H998" s="3"/>
      <c r="I998" s="3"/>
      <c r="J998" s="3"/>
      <c r="K998" s="5"/>
      <c r="L998" s="5"/>
      <c r="M998" s="5"/>
      <c r="N998" s="5"/>
      <c r="O998" s="5"/>
      <c r="P998" s="5"/>
      <c r="Q998" s="5"/>
      <c r="R998" s="5"/>
      <c r="S998" s="5"/>
      <c r="T998" s="5"/>
      <c r="U998" s="3"/>
      <c r="V998" s="3"/>
      <c r="W998" s="3"/>
      <c r="X998" s="3"/>
      <c r="Y998" s="3"/>
      <c r="Z998" s="3"/>
    </row>
    <row r="999" spans="1:26" ht="12" customHeight="1" x14ac:dyDescent="0.3">
      <c r="A999" s="3"/>
      <c r="B999" s="3"/>
      <c r="C999" s="3"/>
      <c r="D999" s="3"/>
      <c r="E999" s="3"/>
      <c r="F999" s="3"/>
      <c r="G999" s="3"/>
      <c r="H999" s="3"/>
      <c r="I999" s="3"/>
      <c r="J999" s="3"/>
      <c r="K999" s="5"/>
      <c r="L999" s="5"/>
      <c r="M999" s="5"/>
      <c r="N999" s="5"/>
      <c r="O999" s="5"/>
      <c r="P999" s="5"/>
      <c r="Q999" s="5"/>
      <c r="R999" s="5"/>
      <c r="S999" s="5"/>
      <c r="T999" s="5"/>
      <c r="U999" s="3"/>
      <c r="V999" s="3"/>
      <c r="W999" s="3"/>
      <c r="X999" s="3"/>
      <c r="Y999" s="3"/>
      <c r="Z999" s="3"/>
    </row>
    <row r="1000" spans="1:26" ht="12" customHeight="1" x14ac:dyDescent="0.3">
      <c r="A1000" s="3"/>
      <c r="B1000" s="3"/>
      <c r="C1000" s="3"/>
      <c r="D1000" s="3"/>
      <c r="E1000" s="3"/>
      <c r="F1000" s="3"/>
      <c r="G1000" s="3"/>
      <c r="H1000" s="3"/>
      <c r="I1000" s="3"/>
      <c r="J1000" s="3"/>
      <c r="K1000" s="5"/>
      <c r="L1000" s="5"/>
      <c r="M1000" s="5"/>
      <c r="N1000" s="5"/>
      <c r="O1000" s="5"/>
      <c r="P1000" s="5"/>
      <c r="Q1000" s="5"/>
      <c r="R1000" s="5"/>
      <c r="S1000" s="5"/>
      <c r="T1000" s="5"/>
      <c r="U1000" s="3"/>
      <c r="V1000" s="3"/>
      <c r="W1000" s="3"/>
      <c r="X1000" s="3"/>
      <c r="Y1000" s="3"/>
      <c r="Z1000" s="3"/>
    </row>
  </sheetData>
  <mergeCells count="45">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13" zoomScale="70" zoomScaleNormal="70" workbookViewId="0">
      <selection activeCell="U33" sqref="U33:W33"/>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202" t="s">
        <v>26</v>
      </c>
      <c r="B1" s="200"/>
      <c r="C1" s="200"/>
      <c r="D1" s="200"/>
      <c r="E1" s="200"/>
      <c r="F1" s="200"/>
      <c r="G1" s="200"/>
      <c r="H1" s="200"/>
      <c r="I1" s="200"/>
      <c r="J1" s="200"/>
      <c r="K1" s="200"/>
      <c r="L1" s="200"/>
      <c r="M1" s="200"/>
      <c r="N1" s="200"/>
      <c r="O1" s="200"/>
      <c r="P1" s="200"/>
      <c r="Q1" s="200"/>
      <c r="R1" s="200"/>
      <c r="S1" s="200"/>
      <c r="T1" s="200"/>
      <c r="U1" s="200"/>
      <c r="V1" s="200"/>
      <c r="W1" s="200"/>
      <c r="X1" s="200"/>
      <c r="Y1" s="201"/>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59" t="s">
        <v>27</v>
      </c>
      <c r="B3" s="200"/>
      <c r="C3" s="200"/>
      <c r="D3" s="200"/>
      <c r="E3" s="200"/>
      <c r="F3" s="200"/>
      <c r="G3" s="200"/>
      <c r="H3" s="200"/>
      <c r="I3" s="200"/>
      <c r="J3" s="200"/>
      <c r="K3" s="200"/>
      <c r="L3" s="200"/>
      <c r="M3" s="200"/>
      <c r="N3" s="200"/>
      <c r="O3" s="200"/>
      <c r="P3" s="200"/>
      <c r="Q3" s="200"/>
      <c r="R3" s="200"/>
      <c r="S3" s="200"/>
      <c r="T3" s="200"/>
      <c r="U3" s="200"/>
      <c r="V3" s="200"/>
      <c r="W3" s="200"/>
      <c r="X3" s="200"/>
      <c r="Y3" s="201"/>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04" t="s">
        <v>2</v>
      </c>
      <c r="B5" s="205"/>
      <c r="C5" s="206"/>
      <c r="D5" s="6"/>
      <c r="E5" s="7"/>
      <c r="F5" s="7"/>
      <c r="G5" s="7"/>
      <c r="H5" s="7"/>
      <c r="I5" s="7"/>
      <c r="J5" s="7"/>
      <c r="K5" s="7"/>
      <c r="L5" s="7"/>
      <c r="M5" s="7"/>
      <c r="N5" s="7"/>
      <c r="O5" s="7"/>
      <c r="P5" s="7"/>
      <c r="Q5" s="7"/>
      <c r="R5" s="7"/>
      <c r="S5" s="7"/>
      <c r="T5" s="7"/>
      <c r="U5" s="7"/>
      <c r="V5" s="7"/>
      <c r="W5" s="7"/>
      <c r="X5" s="7"/>
      <c r="Y5" s="7"/>
      <c r="Z5" s="3"/>
    </row>
    <row r="6" spans="1:26" ht="31.5" customHeight="1" x14ac:dyDescent="0.3">
      <c r="A6" s="207"/>
      <c r="B6" s="208"/>
      <c r="C6" s="209"/>
      <c r="D6" s="6"/>
      <c r="E6" s="260" t="str">
        <f>'1. Résumé'!E6</f>
        <v>FKT 03/18 Avaradrova</v>
      </c>
      <c r="F6" s="200"/>
      <c r="G6" s="200"/>
      <c r="H6" s="200"/>
      <c r="I6" s="201"/>
      <c r="J6" s="7"/>
      <c r="K6" s="261" t="s">
        <v>28</v>
      </c>
      <c r="L6" s="200"/>
      <c r="M6" s="200"/>
      <c r="N6" s="200"/>
      <c r="O6" s="201"/>
      <c r="P6" s="7"/>
      <c r="Q6" s="7"/>
      <c r="R6" s="261" t="s">
        <v>29</v>
      </c>
      <c r="S6" s="200"/>
      <c r="T6" s="200"/>
      <c r="U6" s="200"/>
      <c r="V6" s="200"/>
      <c r="W6" s="201"/>
      <c r="X6" s="7"/>
      <c r="Y6" s="7"/>
      <c r="Z6" s="3"/>
    </row>
    <row r="7" spans="1:26" ht="9.75" customHeight="1" x14ac:dyDescent="0.3">
      <c r="A7" s="210"/>
      <c r="B7" s="211"/>
      <c r="C7" s="212"/>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5" t="s">
        <v>30</v>
      </c>
      <c r="B9" s="200"/>
      <c r="C9" s="200"/>
      <c r="D9" s="200"/>
      <c r="E9" s="200"/>
      <c r="F9" s="200"/>
      <c r="G9" s="200"/>
      <c r="H9" s="200"/>
      <c r="I9" s="200"/>
      <c r="J9" s="200"/>
      <c r="K9" s="200"/>
      <c r="L9" s="200"/>
      <c r="M9" s="200"/>
      <c r="N9" s="200"/>
      <c r="O9" s="200"/>
      <c r="P9" s="200"/>
      <c r="Q9" s="200"/>
      <c r="R9" s="200"/>
      <c r="S9" s="200"/>
      <c r="T9" s="200"/>
      <c r="U9" s="200"/>
      <c r="V9" s="200"/>
      <c r="W9" s="200"/>
      <c r="X9" s="200"/>
      <c r="Y9" s="201"/>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13" t="s">
        <v>31</v>
      </c>
      <c r="D11" s="200"/>
      <c r="E11" s="200"/>
      <c r="F11" s="200"/>
      <c r="G11" s="200"/>
      <c r="H11" s="200"/>
      <c r="I11" s="200"/>
      <c r="J11" s="200"/>
      <c r="K11" s="200"/>
      <c r="L11" s="200"/>
      <c r="M11" s="200"/>
      <c r="N11" s="200"/>
      <c r="O11" s="200"/>
      <c r="P11" s="200"/>
      <c r="Q11" s="200"/>
      <c r="R11" s="200"/>
      <c r="S11" s="200"/>
      <c r="T11" s="200"/>
      <c r="U11" s="200"/>
      <c r="V11" s="200"/>
      <c r="W11" s="201"/>
      <c r="X11" s="3"/>
      <c r="Y11" s="4"/>
      <c r="Z11" s="3"/>
    </row>
    <row r="12" spans="1:26" ht="9.75" customHeight="1" x14ac:dyDescent="0.3">
      <c r="A12" s="4"/>
      <c r="B12" s="3"/>
      <c r="C12" s="3" t="s">
        <v>9</v>
      </c>
      <c r="D12" s="3"/>
      <c r="E12" s="3"/>
      <c r="F12" s="3"/>
      <c r="G12" s="3"/>
      <c r="H12" s="3" t="s">
        <v>9</v>
      </c>
      <c r="I12" s="3"/>
      <c r="J12" s="3"/>
      <c r="K12" s="3"/>
      <c r="L12" s="3"/>
      <c r="M12" s="3"/>
      <c r="N12" s="3"/>
      <c r="O12" s="3"/>
      <c r="P12" s="3"/>
      <c r="Q12" s="3"/>
      <c r="R12" s="3"/>
      <c r="S12" s="3"/>
      <c r="T12" s="3"/>
      <c r="U12" s="3"/>
      <c r="V12" s="3"/>
      <c r="W12" s="3"/>
      <c r="X12" s="3"/>
      <c r="Y12" s="4"/>
      <c r="Z12" s="3"/>
    </row>
    <row r="13" spans="1:26" ht="409.5" customHeight="1" x14ac:dyDescent="0.3">
      <c r="A13" s="4"/>
      <c r="B13" s="3"/>
      <c r="C13" s="252" t="s">
        <v>272</v>
      </c>
      <c r="D13" s="253"/>
      <c r="E13" s="253"/>
      <c r="F13" s="253"/>
      <c r="G13" s="253"/>
      <c r="H13" s="253"/>
      <c r="I13" s="253"/>
      <c r="J13" s="253"/>
      <c r="K13" s="253"/>
      <c r="L13" s="253"/>
      <c r="M13" s="253"/>
      <c r="N13" s="253"/>
      <c r="O13" s="253"/>
      <c r="P13" s="253"/>
      <c r="Q13" s="253"/>
      <c r="R13" s="253"/>
      <c r="S13" s="253"/>
      <c r="T13" s="253"/>
      <c r="U13" s="253"/>
      <c r="V13" s="253"/>
      <c r="W13" s="254"/>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55" t="s">
        <v>32</v>
      </c>
      <c r="D15" s="197"/>
      <c r="E15" s="197"/>
      <c r="F15" s="197"/>
      <c r="G15" s="197"/>
      <c r="H15" s="197"/>
      <c r="I15" s="197"/>
      <c r="J15" s="197"/>
      <c r="K15" s="197"/>
      <c r="L15" s="197"/>
      <c r="M15" s="197"/>
      <c r="N15" s="197"/>
      <c r="O15" s="197"/>
      <c r="P15" s="197"/>
      <c r="Q15" s="197"/>
      <c r="R15" s="197"/>
      <c r="S15" s="197"/>
      <c r="T15" s="197"/>
      <c r="U15" s="197"/>
      <c r="V15" s="197"/>
      <c r="W15" s="198"/>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56" t="s">
        <v>33</v>
      </c>
      <c r="D17" s="29"/>
      <c r="E17" s="258" t="s">
        <v>34</v>
      </c>
      <c r="F17" s="197"/>
      <c r="G17" s="198"/>
      <c r="H17" s="30"/>
      <c r="I17" s="250" t="s">
        <v>35</v>
      </c>
      <c r="J17" s="197"/>
      <c r="K17" s="198"/>
      <c r="L17" s="29"/>
      <c r="M17" s="250" t="s">
        <v>36</v>
      </c>
      <c r="N17" s="197"/>
      <c r="O17" s="198"/>
      <c r="P17" s="29"/>
      <c r="Q17" s="250" t="s">
        <v>37</v>
      </c>
      <c r="R17" s="197"/>
      <c r="S17" s="198"/>
      <c r="T17" s="29"/>
      <c r="U17" s="251" t="s">
        <v>38</v>
      </c>
      <c r="V17" s="197"/>
      <c r="W17" s="198"/>
      <c r="X17" s="3"/>
      <c r="Y17" s="4"/>
      <c r="Z17" s="3"/>
    </row>
    <row r="18" spans="1:26" ht="27" customHeight="1" x14ac:dyDescent="0.3">
      <c r="A18" s="4"/>
      <c r="B18" s="3"/>
      <c r="C18" s="257"/>
      <c r="D18" s="29"/>
      <c r="E18" s="31" t="s">
        <v>39</v>
      </c>
      <c r="F18" s="31" t="s">
        <v>40</v>
      </c>
      <c r="G18" s="32" t="s">
        <v>41</v>
      </c>
      <c r="H18" s="33"/>
      <c r="I18" s="31" t="s">
        <v>39</v>
      </c>
      <c r="J18" s="31" t="s">
        <v>40</v>
      </c>
      <c r="K18" s="32" t="s">
        <v>42</v>
      </c>
      <c r="L18" s="33"/>
      <c r="M18" s="31" t="s">
        <v>39</v>
      </c>
      <c r="N18" s="31" t="s">
        <v>40</v>
      </c>
      <c r="O18" s="32" t="s">
        <v>42</v>
      </c>
      <c r="P18" s="34"/>
      <c r="Q18" s="31" t="s">
        <v>39</v>
      </c>
      <c r="R18" s="31" t="s">
        <v>40</v>
      </c>
      <c r="S18" s="35" t="s">
        <v>42</v>
      </c>
      <c r="T18" s="33"/>
      <c r="U18" s="31" t="s">
        <v>39</v>
      </c>
      <c r="V18" s="31" t="s">
        <v>40</v>
      </c>
      <c r="W18" s="35" t="s">
        <v>43</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44</v>
      </c>
      <c r="D20" s="39"/>
      <c r="E20" s="40">
        <v>165</v>
      </c>
      <c r="F20" s="41">
        <v>226</v>
      </c>
      <c r="G20" s="42">
        <f>SUM(E20:F20)</f>
        <v>391</v>
      </c>
      <c r="H20" s="43"/>
      <c r="I20" s="40">
        <v>281</v>
      </c>
      <c r="J20" s="41">
        <v>2937</v>
      </c>
      <c r="K20" s="42">
        <f>SUM(I20:J20)</f>
        <v>3218</v>
      </c>
      <c r="L20" s="44"/>
      <c r="M20" s="40">
        <v>1223</v>
      </c>
      <c r="N20" s="41">
        <v>2814</v>
      </c>
      <c r="O20" s="42">
        <f>SUM(M20:N20)</f>
        <v>4037</v>
      </c>
      <c r="P20" s="44"/>
      <c r="Q20" s="40">
        <v>74</v>
      </c>
      <c r="R20" s="41">
        <v>55</v>
      </c>
      <c r="S20" s="42">
        <f>SUM(Q20:R20)</f>
        <v>129</v>
      </c>
      <c r="T20" s="44"/>
      <c r="U20" s="40">
        <v>1743</v>
      </c>
      <c r="V20" s="40">
        <v>6032</v>
      </c>
      <c r="W20" s="42">
        <f>SUM(U20:V20)</f>
        <v>7775</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1.5" customHeight="1" x14ac:dyDescent="0.3">
      <c r="A22" s="4"/>
      <c r="B22" s="3"/>
      <c r="C22" s="46" t="s">
        <v>45</v>
      </c>
      <c r="D22" s="29"/>
      <c r="E22" s="47">
        <f>E20/G20</f>
        <v>0.42199488491048592</v>
      </c>
      <c r="F22" s="48">
        <f>F20/G20</f>
        <v>0.57800511508951402</v>
      </c>
      <c r="G22" s="49">
        <f>SUM(E22:F22)</f>
        <v>1</v>
      </c>
      <c r="H22" s="50"/>
      <c r="I22" s="48">
        <f>I20/K20</f>
        <v>8.7321317588564332E-2</v>
      </c>
      <c r="J22" s="48">
        <f>J20/K20</f>
        <v>0.91267868241143568</v>
      </c>
      <c r="K22" s="49">
        <f>SUM(I22:J22)</f>
        <v>1</v>
      </c>
      <c r="L22" s="51"/>
      <c r="M22" s="48">
        <f>M20/O20</f>
        <v>0.30294773346544462</v>
      </c>
      <c r="N22" s="48">
        <f>N20/O20</f>
        <v>0.69705226653455532</v>
      </c>
      <c r="O22" s="49">
        <f>SUM(M22:N22)</f>
        <v>1</v>
      </c>
      <c r="P22" s="51"/>
      <c r="Q22" s="48">
        <f>Q20/S20</f>
        <v>0.5736434108527132</v>
      </c>
      <c r="R22" s="48">
        <f>R20/S20</f>
        <v>0.4263565891472868</v>
      </c>
      <c r="S22" s="49">
        <f>SUM(Q22:R22)</f>
        <v>1</v>
      </c>
      <c r="T22" s="51"/>
      <c r="U22" s="48">
        <f>U20/W20</f>
        <v>0.22418006430868168</v>
      </c>
      <c r="V22" s="48">
        <f>V20/W20</f>
        <v>0.77581993569131835</v>
      </c>
      <c r="W22" s="49">
        <f>SUM(U22:V22)</f>
        <v>1</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46</v>
      </c>
      <c r="D24" s="39"/>
      <c r="E24" s="40">
        <v>2</v>
      </c>
      <c r="F24" s="41">
        <v>1</v>
      </c>
      <c r="G24" s="42">
        <f>SUM(E24:F24)</f>
        <v>3</v>
      </c>
      <c r="H24" s="53"/>
      <c r="I24" s="40">
        <v>5</v>
      </c>
      <c r="J24" s="41">
        <v>8</v>
      </c>
      <c r="K24" s="42">
        <f>SUM(I24:J24)</f>
        <v>13</v>
      </c>
      <c r="L24" s="39"/>
      <c r="M24" s="40">
        <v>3</v>
      </c>
      <c r="N24" s="41">
        <v>5</v>
      </c>
      <c r="O24" s="42">
        <f>SUM(M24:N24)</f>
        <v>8</v>
      </c>
      <c r="P24" s="39"/>
      <c r="Q24" s="40">
        <v>1</v>
      </c>
      <c r="R24" s="41">
        <v>0</v>
      </c>
      <c r="S24" s="42">
        <f>SUM(Q24:R24)</f>
        <v>1</v>
      </c>
      <c r="T24" s="39"/>
      <c r="U24" s="40">
        <v>11</v>
      </c>
      <c r="V24" s="40">
        <v>14</v>
      </c>
      <c r="W24" s="42">
        <f>SUM(U24:V24)</f>
        <v>25</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36" t="s">
        <v>47</v>
      </c>
      <c r="D26" s="197"/>
      <c r="E26" s="197"/>
      <c r="F26" s="197"/>
      <c r="G26" s="197"/>
      <c r="H26" s="197"/>
      <c r="I26" s="197"/>
      <c r="J26" s="197"/>
      <c r="K26" s="197"/>
      <c r="L26" s="197"/>
      <c r="M26" s="197"/>
      <c r="N26" s="197"/>
      <c r="O26" s="197"/>
      <c r="P26" s="197"/>
      <c r="Q26" s="197"/>
      <c r="R26" s="197"/>
      <c r="S26" s="198"/>
      <c r="T26" s="39"/>
      <c r="U26" s="40">
        <v>7</v>
      </c>
      <c r="V26" s="41">
        <v>13</v>
      </c>
      <c r="W26" s="42">
        <f>SUM(U26:V26)</f>
        <v>20</v>
      </c>
      <c r="X26" s="3"/>
      <c r="Y26" s="4"/>
      <c r="Z26" s="3"/>
    </row>
    <row r="27" spans="1:26" ht="18" customHeight="1" x14ac:dyDescent="0.3">
      <c r="A27" s="4"/>
      <c r="B27" s="3"/>
      <c r="C27" s="237"/>
      <c r="D27" s="197"/>
      <c r="E27" s="197"/>
      <c r="F27" s="197"/>
      <c r="G27" s="197"/>
      <c r="H27" s="197"/>
      <c r="I27" s="197"/>
      <c r="J27" s="197"/>
      <c r="K27" s="197"/>
      <c r="L27" s="197"/>
      <c r="M27" s="197"/>
      <c r="N27" s="197"/>
      <c r="O27" s="197"/>
      <c r="P27" s="197"/>
      <c r="Q27" s="197"/>
      <c r="R27" s="197"/>
      <c r="S27" s="198"/>
      <c r="T27" s="29"/>
      <c r="U27" s="55">
        <f t="shared" ref="U27:W27" si="0">U26/U20</f>
        <v>4.0160642570281121E-3</v>
      </c>
      <c r="V27" s="55">
        <f t="shared" si="0"/>
        <v>2.1551724137931034E-3</v>
      </c>
      <c r="W27" s="56">
        <f t="shared" si="0"/>
        <v>2.572347266881029E-3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38" t="s">
        <v>48</v>
      </c>
      <c r="D29" s="3"/>
      <c r="E29" s="241" t="s">
        <v>49</v>
      </c>
      <c r="F29" s="242"/>
      <c r="G29" s="243"/>
      <c r="H29" s="58"/>
      <c r="I29" s="249" t="s">
        <v>50</v>
      </c>
      <c r="J29" s="205"/>
      <c r="K29" s="206"/>
      <c r="L29" s="3"/>
      <c r="M29" s="229" t="s">
        <v>51</v>
      </c>
      <c r="N29" s="227"/>
      <c r="O29" s="228"/>
      <c r="P29" s="3"/>
      <c r="Q29" s="249" t="s">
        <v>52</v>
      </c>
      <c r="R29" s="205"/>
      <c r="S29" s="206"/>
      <c r="T29" s="3"/>
      <c r="U29" s="233" t="s">
        <v>53</v>
      </c>
      <c r="V29" s="227"/>
      <c r="W29" s="228"/>
      <c r="X29" s="3"/>
      <c r="Y29" s="4"/>
      <c r="Z29" s="3"/>
    </row>
    <row r="30" spans="1:26" ht="9.75" customHeight="1" x14ac:dyDescent="0.3">
      <c r="A30" s="4"/>
      <c r="B30" s="3"/>
      <c r="C30" s="239"/>
      <c r="D30" s="3"/>
      <c r="E30" s="244"/>
      <c r="F30" s="208"/>
      <c r="G30" s="245"/>
      <c r="H30" s="3"/>
      <c r="I30" s="207"/>
      <c r="J30" s="208"/>
      <c r="K30" s="209"/>
      <c r="L30" s="3"/>
      <c r="M30" s="59"/>
      <c r="N30" s="59"/>
      <c r="O30" s="59"/>
      <c r="P30" s="3"/>
      <c r="Q30" s="207"/>
      <c r="R30" s="208"/>
      <c r="S30" s="209"/>
      <c r="T30" s="3"/>
      <c r="U30" s="60"/>
      <c r="V30" s="60"/>
      <c r="W30" s="60"/>
      <c r="X30" s="3"/>
      <c r="Y30" s="4"/>
      <c r="Z30" s="3"/>
    </row>
    <row r="31" spans="1:26" ht="31.5" customHeight="1" x14ac:dyDescent="0.3">
      <c r="A31" s="4"/>
      <c r="B31" s="3"/>
      <c r="C31" s="240"/>
      <c r="D31" s="3"/>
      <c r="E31" s="246"/>
      <c r="F31" s="247"/>
      <c r="G31" s="248"/>
      <c r="H31" s="58"/>
      <c r="I31" s="210"/>
      <c r="J31" s="211"/>
      <c r="K31" s="212"/>
      <c r="L31" s="3"/>
      <c r="M31" s="229" t="s">
        <v>54</v>
      </c>
      <c r="N31" s="227"/>
      <c r="O31" s="228"/>
      <c r="P31" s="3"/>
      <c r="Q31" s="210"/>
      <c r="R31" s="211"/>
      <c r="S31" s="212"/>
      <c r="T31" s="3"/>
      <c r="U31" s="233" t="s">
        <v>55</v>
      </c>
      <c r="V31" s="227"/>
      <c r="W31" s="228"/>
      <c r="X31" s="3"/>
      <c r="Y31" s="4"/>
      <c r="Z31" s="3"/>
    </row>
    <row r="32" spans="1:26" ht="9.75" customHeight="1" x14ac:dyDescent="0.3">
      <c r="A32" s="4"/>
      <c r="B32" s="3"/>
      <c r="C32" s="61"/>
      <c r="D32" s="3"/>
      <c r="E32" s="62"/>
      <c r="F32" s="62"/>
      <c r="G32" s="62"/>
      <c r="H32" s="58"/>
      <c r="I32" s="230"/>
      <c r="J32" s="200"/>
      <c r="K32" s="201"/>
      <c r="L32" s="3"/>
      <c r="M32" s="62"/>
      <c r="N32" s="62"/>
      <c r="O32" s="62"/>
      <c r="P32" s="3"/>
      <c r="Q32" s="61"/>
      <c r="R32" s="61"/>
      <c r="S32" s="61"/>
      <c r="T32" s="3"/>
      <c r="U32" s="60"/>
      <c r="V32" s="60"/>
      <c r="W32" s="60"/>
      <c r="X32" s="3"/>
      <c r="Y32" s="4"/>
      <c r="Z32" s="3"/>
    </row>
    <row r="33" spans="1:26" ht="84.75" customHeight="1" x14ac:dyDescent="0.3">
      <c r="A33" s="4"/>
      <c r="B33" s="3"/>
      <c r="C33" s="63" t="s">
        <v>56</v>
      </c>
      <c r="D33" s="3"/>
      <c r="E33" s="232" t="s">
        <v>216</v>
      </c>
      <c r="F33" s="227"/>
      <c r="G33" s="228"/>
      <c r="H33" s="58"/>
      <c r="I33" s="231" t="s">
        <v>57</v>
      </c>
      <c r="J33" s="200"/>
      <c r="K33" s="201"/>
      <c r="L33" s="3"/>
      <c r="M33" s="232" t="s">
        <v>255</v>
      </c>
      <c r="N33" s="227"/>
      <c r="O33" s="228"/>
      <c r="P33" s="3"/>
      <c r="Q33" s="231" t="s">
        <v>58</v>
      </c>
      <c r="R33" s="200"/>
      <c r="S33" s="201"/>
      <c r="T33" s="3"/>
      <c r="U33" s="232" t="s">
        <v>59</v>
      </c>
      <c r="V33" s="227"/>
      <c r="W33" s="228"/>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9</v>
      </c>
      <c r="D35" s="4"/>
      <c r="E35" s="234" t="s">
        <v>9</v>
      </c>
      <c r="F35" s="200"/>
      <c r="G35" s="200"/>
      <c r="H35" s="201"/>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5" t="s">
        <v>60</v>
      </c>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1"/>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13" t="s">
        <v>61</v>
      </c>
      <c r="D40" s="200"/>
      <c r="E40" s="200"/>
      <c r="F40" s="200"/>
      <c r="G40" s="200"/>
      <c r="H40" s="200"/>
      <c r="I40" s="200"/>
      <c r="J40" s="200"/>
      <c r="K40" s="200"/>
      <c r="L40" s="200"/>
      <c r="M40" s="200"/>
      <c r="N40" s="200"/>
      <c r="O40" s="200"/>
      <c r="P40" s="200"/>
      <c r="Q40" s="200"/>
      <c r="R40" s="200"/>
      <c r="S40" s="200"/>
      <c r="T40" s="200"/>
      <c r="U40" s="200"/>
      <c r="V40" s="200"/>
      <c r="W40" s="201"/>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26" t="s">
        <v>217</v>
      </c>
      <c r="D42" s="227"/>
      <c r="E42" s="227"/>
      <c r="F42" s="227"/>
      <c r="G42" s="227"/>
      <c r="H42" s="227"/>
      <c r="I42" s="227"/>
      <c r="J42" s="227"/>
      <c r="K42" s="227"/>
      <c r="L42" s="227"/>
      <c r="M42" s="227"/>
      <c r="N42" s="227"/>
      <c r="O42" s="227"/>
      <c r="P42" s="227"/>
      <c r="Q42" s="227"/>
      <c r="R42" s="227"/>
      <c r="S42" s="227"/>
      <c r="T42" s="227"/>
      <c r="U42" s="227"/>
      <c r="V42" s="227"/>
      <c r="W42" s="228"/>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62</v>
      </c>
      <c r="D46" s="3"/>
      <c r="E46" s="65" t="s">
        <v>63</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49</v>
      </c>
      <c r="D47" s="3"/>
      <c r="E47" s="66" t="s">
        <v>64</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65</v>
      </c>
      <c r="D48" s="3"/>
      <c r="E48" s="66" t="s">
        <v>66</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67</v>
      </c>
      <c r="D49" s="3"/>
      <c r="E49" s="66" t="s">
        <v>53</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68</v>
      </c>
      <c r="D51" s="3"/>
      <c r="E51" s="66" t="s">
        <v>69</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51</v>
      </c>
      <c r="D52" s="3"/>
      <c r="E52" s="66" t="s">
        <v>70</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71</v>
      </c>
      <c r="D53" s="3"/>
      <c r="E53" s="66" t="s">
        <v>55</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72</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73</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54</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74</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14" zoomScale="80" zoomScaleNormal="80" workbookViewId="0">
      <selection activeCell="E46" sqref="E46:K46"/>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4" width="1.69921875" customWidth="1"/>
    <col min="25" max="25" width="1" customWidth="1"/>
    <col min="26" max="29" width="10.69921875" customWidth="1"/>
  </cols>
  <sheetData>
    <row r="1" spans="1:29" ht="39.75" customHeight="1" x14ac:dyDescent="0.4">
      <c r="A1" s="202" t="s">
        <v>75</v>
      </c>
      <c r="B1" s="200"/>
      <c r="C1" s="200"/>
      <c r="D1" s="200"/>
      <c r="E1" s="200"/>
      <c r="F1" s="200"/>
      <c r="G1" s="200"/>
      <c r="H1" s="200"/>
      <c r="I1" s="200"/>
      <c r="J1" s="200"/>
      <c r="K1" s="200"/>
      <c r="L1" s="200"/>
      <c r="M1" s="200"/>
      <c r="N1" s="200"/>
      <c r="O1" s="200"/>
      <c r="P1" s="200"/>
      <c r="Q1" s="200"/>
      <c r="R1" s="200"/>
      <c r="S1" s="200"/>
      <c r="T1" s="200"/>
      <c r="U1" s="200"/>
      <c r="V1" s="200"/>
      <c r="W1" s="200"/>
      <c r="X1" s="200"/>
      <c r="Y1" s="201"/>
      <c r="Z1" s="67"/>
      <c r="AA1" s="1" t="s">
        <v>76</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 xml:space="preserve">Inondation </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04" t="s">
        <v>2</v>
      </c>
      <c r="B4" s="205"/>
      <c r="C4" s="206"/>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7"/>
      <c r="B5" s="208"/>
      <c r="C5" s="209"/>
      <c r="D5" s="6"/>
      <c r="E5" s="260" t="str">
        <f>'1. Résumé'!E6</f>
        <v>FKT 03/18 Avaradrova</v>
      </c>
      <c r="F5" s="200"/>
      <c r="G5" s="200"/>
      <c r="H5" s="200"/>
      <c r="I5" s="201"/>
      <c r="J5" s="7"/>
      <c r="K5" s="261" t="str">
        <f>'1. Résumé'!G8</f>
        <v>Pays : Madagascar</v>
      </c>
      <c r="L5" s="200"/>
      <c r="M5" s="200"/>
      <c r="N5" s="200"/>
      <c r="O5" s="201"/>
      <c r="P5" s="7"/>
      <c r="Q5" s="7"/>
      <c r="R5" s="261" t="str">
        <f>'1. Résumé'!E10</f>
        <v>Société nationale : Croix-Rouge Malagasy</v>
      </c>
      <c r="S5" s="200"/>
      <c r="T5" s="200"/>
      <c r="U5" s="200"/>
      <c r="V5" s="200"/>
      <c r="W5" s="201"/>
      <c r="X5" s="7"/>
      <c r="Y5" s="7"/>
      <c r="Z5" s="3"/>
      <c r="AA5" s="5" t="str">
        <f>IF(O34="","",O34)</f>
        <v/>
      </c>
      <c r="AB5" s="3"/>
      <c r="AC5" s="3"/>
    </row>
    <row r="6" spans="1:29" ht="9.75" customHeight="1" x14ac:dyDescent="0.3">
      <c r="A6" s="210"/>
      <c r="B6" s="211"/>
      <c r="C6" s="212"/>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75" t="s">
        <v>77</v>
      </c>
      <c r="B8" s="200"/>
      <c r="C8" s="200"/>
      <c r="D8" s="200"/>
      <c r="E8" s="200"/>
      <c r="F8" s="200"/>
      <c r="G8" s="200"/>
      <c r="H8" s="200"/>
      <c r="I8" s="200"/>
      <c r="J8" s="200"/>
      <c r="K8" s="200"/>
      <c r="L8" s="200"/>
      <c r="M8" s="200"/>
      <c r="N8" s="200"/>
      <c r="O8" s="200"/>
      <c r="P8" s="200"/>
      <c r="Q8" s="200"/>
      <c r="R8" s="200"/>
      <c r="S8" s="200"/>
      <c r="T8" s="200"/>
      <c r="U8" s="200"/>
      <c r="V8" s="200"/>
      <c r="W8" s="200"/>
      <c r="X8" s="200"/>
      <c r="Y8" s="201"/>
      <c r="Z8" s="3"/>
      <c r="AA8" s="5"/>
      <c r="AB8" s="3"/>
      <c r="AC8" s="3" t="s">
        <v>9</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76" t="s">
        <v>78</v>
      </c>
      <c r="D10" s="200"/>
      <c r="E10" s="200"/>
      <c r="F10" s="200"/>
      <c r="G10" s="200"/>
      <c r="H10" s="200"/>
      <c r="I10" s="200"/>
      <c r="J10" s="200"/>
      <c r="K10" s="200"/>
      <c r="L10" s="200"/>
      <c r="M10" s="200"/>
      <c r="N10" s="200"/>
      <c r="O10" s="200"/>
      <c r="P10" s="200"/>
      <c r="Q10" s="200"/>
      <c r="R10" s="200"/>
      <c r="S10" s="200"/>
      <c r="T10" s="200"/>
      <c r="U10" s="200"/>
      <c r="V10" s="200"/>
      <c r="W10" s="201"/>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13" t="s">
        <v>79</v>
      </c>
      <c r="D12" s="200"/>
      <c r="E12" s="200"/>
      <c r="F12" s="200"/>
      <c r="G12" s="200"/>
      <c r="H12" s="200"/>
      <c r="I12" s="200"/>
      <c r="J12" s="200"/>
      <c r="K12" s="200"/>
      <c r="L12" s="200"/>
      <c r="M12" s="200"/>
      <c r="N12" s="200"/>
      <c r="O12" s="200"/>
      <c r="P12" s="200"/>
      <c r="Q12" s="200"/>
      <c r="R12" s="200"/>
      <c r="S12" s="200"/>
      <c r="T12" s="200"/>
      <c r="U12" s="200"/>
      <c r="V12" s="200"/>
      <c r="W12" s="201"/>
      <c r="X12" s="3"/>
      <c r="Y12" s="4"/>
      <c r="Z12" s="3"/>
      <c r="AA12" s="5"/>
      <c r="AB12" s="3"/>
      <c r="AC12" s="3"/>
    </row>
    <row r="13" spans="1:29" ht="9.75" customHeight="1" x14ac:dyDescent="0.3">
      <c r="A13" s="4"/>
      <c r="B13" s="3"/>
      <c r="C13" s="3" t="s">
        <v>9</v>
      </c>
      <c r="D13" s="3"/>
      <c r="E13" s="3"/>
      <c r="F13" s="3"/>
      <c r="G13" s="3"/>
      <c r="H13" s="3" t="s">
        <v>9</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52" t="s">
        <v>273</v>
      </c>
      <c r="D14" s="227"/>
      <c r="E14" s="227"/>
      <c r="F14" s="227"/>
      <c r="G14" s="227"/>
      <c r="H14" s="227"/>
      <c r="I14" s="227"/>
      <c r="J14" s="227"/>
      <c r="K14" s="227"/>
      <c r="L14" s="227"/>
      <c r="M14" s="227"/>
      <c r="N14" s="227"/>
      <c r="O14" s="227"/>
      <c r="P14" s="227"/>
      <c r="Q14" s="227"/>
      <c r="R14" s="227"/>
      <c r="S14" s="227"/>
      <c r="T14" s="227"/>
      <c r="U14" s="227"/>
      <c r="V14" s="227"/>
      <c r="W14" s="228"/>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80</v>
      </c>
      <c r="D16" s="71"/>
      <c r="E16" s="71"/>
      <c r="F16" s="71"/>
      <c r="G16" s="71"/>
      <c r="H16" s="71"/>
      <c r="I16" s="71"/>
      <c r="J16" s="71"/>
      <c r="K16" s="71"/>
      <c r="L16" s="14"/>
      <c r="M16" s="72" t="s">
        <v>81</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82</v>
      </c>
      <c r="D18" s="73"/>
      <c r="E18" s="268" t="s">
        <v>80</v>
      </c>
      <c r="F18" s="227"/>
      <c r="G18" s="227"/>
      <c r="H18" s="227"/>
      <c r="I18" s="227"/>
      <c r="J18" s="227"/>
      <c r="K18" s="228"/>
      <c r="L18" s="3"/>
      <c r="M18" s="74" t="s">
        <v>82</v>
      </c>
      <c r="N18" s="75"/>
      <c r="O18" s="277" t="s">
        <v>81</v>
      </c>
      <c r="P18" s="227"/>
      <c r="Q18" s="227"/>
      <c r="R18" s="227"/>
      <c r="S18" s="227"/>
      <c r="T18" s="227"/>
      <c r="U18" s="227"/>
      <c r="V18" s="227"/>
      <c r="W18" s="228"/>
      <c r="X18" s="3"/>
      <c r="Y18" s="4"/>
      <c r="Z18" s="3"/>
      <c r="AA18" s="5"/>
      <c r="AB18" s="3"/>
      <c r="AC18" s="3"/>
    </row>
    <row r="19" spans="1:29" ht="9.75" customHeight="1" x14ac:dyDescent="0.3">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x14ac:dyDescent="0.3">
      <c r="A20" s="4"/>
      <c r="B20" s="3"/>
      <c r="C20" s="74" t="s">
        <v>83</v>
      </c>
      <c r="D20" s="73"/>
      <c r="E20" s="252" t="s">
        <v>238</v>
      </c>
      <c r="F20" s="227"/>
      <c r="G20" s="227"/>
      <c r="H20" s="227"/>
      <c r="I20" s="227"/>
      <c r="J20" s="227"/>
      <c r="K20" s="228"/>
      <c r="L20" s="3"/>
      <c r="M20" s="74" t="s">
        <v>83</v>
      </c>
      <c r="N20" s="75"/>
      <c r="O20" s="262" t="s">
        <v>275</v>
      </c>
      <c r="P20" s="227"/>
      <c r="Q20" s="227"/>
      <c r="R20" s="227"/>
      <c r="S20" s="227"/>
      <c r="T20" s="227"/>
      <c r="U20" s="227"/>
      <c r="V20" s="227"/>
      <c r="W20" s="228"/>
      <c r="X20" s="3"/>
      <c r="Y20" s="4"/>
      <c r="Z20" s="3"/>
      <c r="AA20" s="5"/>
      <c r="AB20" s="3"/>
      <c r="AC20" s="3"/>
    </row>
    <row r="21" spans="1:29" ht="9.75" customHeight="1" x14ac:dyDescent="0.3">
      <c r="A21" s="4"/>
      <c r="B21" s="3"/>
      <c r="C21" s="76" t="s">
        <v>9</v>
      </c>
      <c r="D21" s="73"/>
      <c r="E21" s="73"/>
      <c r="F21" s="73"/>
      <c r="G21" s="73"/>
      <c r="H21" s="73"/>
      <c r="I21" s="73"/>
      <c r="J21" s="73"/>
      <c r="K21" s="73"/>
      <c r="L21" s="3"/>
      <c r="M21" s="75" t="s">
        <v>9</v>
      </c>
      <c r="N21" s="75"/>
      <c r="O21" s="15"/>
      <c r="P21" s="15"/>
      <c r="Q21" s="15"/>
      <c r="R21" s="15"/>
      <c r="S21" s="15"/>
      <c r="T21" s="15"/>
      <c r="U21" s="15"/>
      <c r="V21" s="15"/>
      <c r="W21" s="15"/>
      <c r="X21" s="3"/>
      <c r="Y21" s="4"/>
      <c r="Z21" s="3"/>
      <c r="AA21" s="5"/>
      <c r="AB21" s="3"/>
      <c r="AC21" s="3"/>
    </row>
    <row r="22" spans="1:29" ht="31.5" customHeight="1" x14ac:dyDescent="0.3">
      <c r="A22" s="4"/>
      <c r="B22" s="3"/>
      <c r="C22" s="74" t="s">
        <v>84</v>
      </c>
      <c r="D22" s="73"/>
      <c r="E22" s="266" t="s">
        <v>259</v>
      </c>
      <c r="F22" s="227"/>
      <c r="G22" s="227"/>
      <c r="H22" s="227"/>
      <c r="I22" s="227"/>
      <c r="J22" s="227"/>
      <c r="K22" s="228"/>
      <c r="L22" s="3"/>
      <c r="M22" s="74" t="s">
        <v>84</v>
      </c>
      <c r="N22" s="75"/>
      <c r="O22" s="270" t="s">
        <v>241</v>
      </c>
      <c r="P22" s="227"/>
      <c r="Q22" s="227"/>
      <c r="R22" s="227"/>
      <c r="S22" s="227"/>
      <c r="T22" s="227"/>
      <c r="U22" s="227"/>
      <c r="V22" s="227"/>
      <c r="W22" s="228"/>
      <c r="X22" s="3"/>
      <c r="Y22" s="4"/>
      <c r="Z22" s="3"/>
      <c r="AA22" s="5"/>
      <c r="AB22" s="3"/>
      <c r="AC22" s="3"/>
    </row>
    <row r="23" spans="1:29" ht="9.75" customHeight="1" x14ac:dyDescent="0.3">
      <c r="A23" s="4"/>
      <c r="B23" s="3"/>
      <c r="C23" s="76" t="s">
        <v>9</v>
      </c>
      <c r="D23" s="73"/>
      <c r="E23" s="73"/>
      <c r="F23" s="73"/>
      <c r="G23" s="73"/>
      <c r="H23" s="73"/>
      <c r="I23" s="73"/>
      <c r="J23" s="73"/>
      <c r="K23" s="73"/>
      <c r="L23" s="3"/>
      <c r="M23" s="75" t="s">
        <v>9</v>
      </c>
      <c r="N23" s="75"/>
      <c r="O23" s="15"/>
      <c r="P23" s="15"/>
      <c r="Q23" s="15"/>
      <c r="R23" s="15"/>
      <c r="S23" s="15"/>
      <c r="T23" s="15"/>
      <c r="U23" s="15"/>
      <c r="V23" s="15"/>
      <c r="W23" s="15"/>
      <c r="X23" s="3"/>
      <c r="Y23" s="4"/>
      <c r="Z23" s="3"/>
      <c r="AA23" s="5"/>
      <c r="AB23" s="3"/>
      <c r="AC23" s="3"/>
    </row>
    <row r="24" spans="1:29" ht="31.5" customHeight="1" x14ac:dyDescent="0.3">
      <c r="A24" s="4"/>
      <c r="B24" s="3"/>
      <c r="C24" s="74" t="s">
        <v>85</v>
      </c>
      <c r="D24" s="73"/>
      <c r="E24" s="263" t="s">
        <v>239</v>
      </c>
      <c r="F24" s="227"/>
      <c r="G24" s="227"/>
      <c r="H24" s="227"/>
      <c r="I24" s="227"/>
      <c r="J24" s="227"/>
      <c r="K24" s="228"/>
      <c r="L24" s="3"/>
      <c r="M24" s="74" t="s">
        <v>85</v>
      </c>
      <c r="N24" s="75"/>
      <c r="O24" s="270" t="s">
        <v>207</v>
      </c>
      <c r="P24" s="227"/>
      <c r="Q24" s="227"/>
      <c r="R24" s="227"/>
      <c r="S24" s="227"/>
      <c r="T24" s="227"/>
      <c r="U24" s="227"/>
      <c r="V24" s="227"/>
      <c r="W24" s="228"/>
      <c r="X24" s="3"/>
      <c r="Y24" s="4"/>
      <c r="Z24" s="3"/>
      <c r="AA24" s="5"/>
      <c r="AB24" s="3"/>
      <c r="AC24" s="3"/>
    </row>
    <row r="25" spans="1:29" ht="9.75" customHeight="1" x14ac:dyDescent="0.3">
      <c r="A25" s="4"/>
      <c r="B25" s="3"/>
      <c r="C25" s="76" t="s">
        <v>9</v>
      </c>
      <c r="D25" s="73"/>
      <c r="E25" s="73"/>
      <c r="F25" s="73"/>
      <c r="G25" s="73"/>
      <c r="H25" s="73"/>
      <c r="I25" s="73"/>
      <c r="J25" s="73"/>
      <c r="K25" s="73"/>
      <c r="L25" s="3"/>
      <c r="M25" s="75" t="s">
        <v>9</v>
      </c>
      <c r="N25" s="75"/>
      <c r="O25" s="171"/>
      <c r="P25" s="171"/>
      <c r="Q25" s="171"/>
      <c r="R25" s="171"/>
      <c r="S25" s="171"/>
      <c r="T25" s="171"/>
      <c r="U25" s="171"/>
      <c r="V25" s="171"/>
      <c r="W25" s="171"/>
      <c r="X25" s="3"/>
      <c r="Y25" s="4"/>
      <c r="Z25" s="3"/>
      <c r="AA25" s="5"/>
      <c r="AB25" s="3"/>
      <c r="AC25" s="3"/>
    </row>
    <row r="26" spans="1:29" ht="31.5" customHeight="1" x14ac:dyDescent="0.3">
      <c r="A26" s="4"/>
      <c r="B26" s="3"/>
      <c r="C26" s="74" t="s">
        <v>86</v>
      </c>
      <c r="D26" s="73"/>
      <c r="E26" s="266" t="s">
        <v>87</v>
      </c>
      <c r="F26" s="227"/>
      <c r="G26" s="227"/>
      <c r="H26" s="227"/>
      <c r="I26" s="227"/>
      <c r="J26" s="227"/>
      <c r="K26" s="228"/>
      <c r="L26" s="3"/>
      <c r="M26" s="74" t="s">
        <v>86</v>
      </c>
      <c r="N26" s="75"/>
      <c r="O26" s="270" t="s">
        <v>208</v>
      </c>
      <c r="P26" s="227"/>
      <c r="Q26" s="227"/>
      <c r="R26" s="227"/>
      <c r="S26" s="227"/>
      <c r="T26" s="227"/>
      <c r="U26" s="227"/>
      <c r="V26" s="227"/>
      <c r="W26" s="228"/>
      <c r="X26" s="3"/>
      <c r="Y26" s="4"/>
      <c r="Z26" s="3"/>
      <c r="AA26" s="5"/>
      <c r="AB26" s="3"/>
      <c r="AC26" s="3"/>
    </row>
    <row r="27" spans="1:29" ht="9.75" customHeight="1" x14ac:dyDescent="0.3">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x14ac:dyDescent="0.3">
      <c r="A28" s="4"/>
      <c r="B28" s="3"/>
      <c r="C28" s="74" t="s">
        <v>88</v>
      </c>
      <c r="D28" s="73"/>
      <c r="E28" s="271" t="s">
        <v>240</v>
      </c>
      <c r="F28" s="227"/>
      <c r="G28" s="227"/>
      <c r="H28" s="227"/>
      <c r="I28" s="227"/>
      <c r="J28" s="227"/>
      <c r="K28" s="228"/>
      <c r="L28" s="3"/>
      <c r="M28" s="74" t="s">
        <v>88</v>
      </c>
      <c r="N28" s="75"/>
      <c r="O28" s="262" t="s">
        <v>242</v>
      </c>
      <c r="P28" s="227"/>
      <c r="Q28" s="227"/>
      <c r="R28" s="227"/>
      <c r="S28" s="227"/>
      <c r="T28" s="227"/>
      <c r="U28" s="227"/>
      <c r="V28" s="227"/>
      <c r="W28" s="228"/>
      <c r="X28" s="3"/>
      <c r="Y28" s="4"/>
      <c r="Z28" s="3"/>
      <c r="AA28" s="5"/>
      <c r="AB28" s="3"/>
      <c r="AC28" s="3"/>
    </row>
    <row r="29" spans="1:29" ht="9.75" customHeight="1" x14ac:dyDescent="0.3">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x14ac:dyDescent="0.3">
      <c r="A30" s="4"/>
      <c r="B30" s="3"/>
      <c r="C30" s="74" t="s">
        <v>89</v>
      </c>
      <c r="D30" s="73"/>
      <c r="E30" s="263" t="s">
        <v>274</v>
      </c>
      <c r="F30" s="227"/>
      <c r="G30" s="227"/>
      <c r="H30" s="227"/>
      <c r="I30" s="227"/>
      <c r="J30" s="227"/>
      <c r="K30" s="228"/>
      <c r="L30" s="3"/>
      <c r="M30" s="74" t="s">
        <v>89</v>
      </c>
      <c r="N30" s="75"/>
      <c r="O30" s="272" t="s">
        <v>209</v>
      </c>
      <c r="P30" s="273"/>
      <c r="Q30" s="273"/>
      <c r="R30" s="273"/>
      <c r="S30" s="273"/>
      <c r="T30" s="273"/>
      <c r="U30" s="273"/>
      <c r="V30" s="273"/>
      <c r="W30" s="274"/>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90</v>
      </c>
      <c r="D32" s="78"/>
      <c r="E32" s="78"/>
      <c r="F32" s="78"/>
      <c r="G32" s="78"/>
      <c r="H32" s="78"/>
      <c r="I32" s="78"/>
      <c r="J32" s="78"/>
      <c r="K32" s="78"/>
      <c r="L32" s="14"/>
      <c r="M32" s="267"/>
      <c r="N32" s="208"/>
      <c r="O32" s="208"/>
      <c r="P32" s="208"/>
      <c r="Q32" s="208"/>
      <c r="R32" s="208"/>
      <c r="S32" s="208"/>
      <c r="T32" s="208"/>
      <c r="U32" s="208"/>
      <c r="V32" s="208"/>
      <c r="W32" s="208"/>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82</v>
      </c>
      <c r="D34" s="79"/>
      <c r="E34" s="268" t="s">
        <v>90</v>
      </c>
      <c r="F34" s="227"/>
      <c r="G34" s="227"/>
      <c r="H34" s="227"/>
      <c r="I34" s="227"/>
      <c r="J34" s="227"/>
      <c r="K34" s="228"/>
      <c r="L34" s="3"/>
      <c r="M34" s="16"/>
      <c r="N34" s="16"/>
      <c r="O34" s="269"/>
      <c r="P34" s="208"/>
      <c r="Q34" s="208"/>
      <c r="R34" s="208"/>
      <c r="S34" s="208"/>
      <c r="T34" s="208"/>
      <c r="U34" s="208"/>
      <c r="V34" s="208"/>
      <c r="W34" s="208"/>
      <c r="X34" s="3"/>
      <c r="Y34" s="4"/>
      <c r="Z34" s="3"/>
      <c r="AA34" s="5"/>
      <c r="AB34" s="3"/>
      <c r="AC34" s="3"/>
    </row>
    <row r="35" spans="1:29" ht="9.75" customHeight="1" x14ac:dyDescent="0.3">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x14ac:dyDescent="0.3">
      <c r="A36" s="4"/>
      <c r="B36" s="3"/>
      <c r="C36" s="74" t="s">
        <v>83</v>
      </c>
      <c r="D36" s="79"/>
      <c r="E36" s="263" t="s">
        <v>276</v>
      </c>
      <c r="F36" s="227"/>
      <c r="G36" s="227"/>
      <c r="H36" s="227"/>
      <c r="I36" s="227"/>
      <c r="J36" s="227"/>
      <c r="K36" s="228"/>
      <c r="L36" s="3"/>
      <c r="M36" s="16"/>
      <c r="N36" s="16"/>
      <c r="O36" s="264"/>
      <c r="P36" s="208"/>
      <c r="Q36" s="208"/>
      <c r="R36" s="208"/>
      <c r="S36" s="208"/>
      <c r="T36" s="208"/>
      <c r="U36" s="208"/>
      <c r="V36" s="208"/>
      <c r="W36" s="208"/>
      <c r="X36" s="3"/>
      <c r="Y36" s="4"/>
      <c r="Z36" s="3"/>
      <c r="AA36" s="5"/>
      <c r="AB36" s="3"/>
      <c r="AC36" s="3"/>
    </row>
    <row r="37" spans="1:29" ht="9.75" customHeight="1" x14ac:dyDescent="0.3">
      <c r="A37" s="4"/>
      <c r="B37" s="3"/>
      <c r="C37" s="80" t="s">
        <v>9</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x14ac:dyDescent="0.3">
      <c r="A38" s="4"/>
      <c r="B38" s="3"/>
      <c r="C38" s="74" t="s">
        <v>84</v>
      </c>
      <c r="D38" s="79"/>
      <c r="E38" s="263" t="s">
        <v>277</v>
      </c>
      <c r="F38" s="227"/>
      <c r="G38" s="227"/>
      <c r="H38" s="227"/>
      <c r="I38" s="227"/>
      <c r="J38" s="227"/>
      <c r="K38" s="228"/>
      <c r="L38" s="3"/>
      <c r="M38" s="16"/>
      <c r="N38" s="16"/>
      <c r="O38" s="264"/>
      <c r="P38" s="208"/>
      <c r="Q38" s="208"/>
      <c r="R38" s="208"/>
      <c r="S38" s="208"/>
      <c r="T38" s="208"/>
      <c r="U38" s="208"/>
      <c r="V38" s="208"/>
      <c r="W38" s="208"/>
      <c r="X38" s="3"/>
      <c r="Y38" s="4"/>
      <c r="Z38" s="3"/>
      <c r="AA38" s="5"/>
      <c r="AB38" s="3"/>
      <c r="AC38" s="3"/>
    </row>
    <row r="39" spans="1:29" ht="9.75" customHeight="1" x14ac:dyDescent="0.3">
      <c r="A39" s="4"/>
      <c r="B39" s="3"/>
      <c r="C39" s="80" t="s">
        <v>9</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85</v>
      </c>
      <c r="D40" s="79"/>
      <c r="E40" s="263" t="s">
        <v>278</v>
      </c>
      <c r="F40" s="227"/>
      <c r="G40" s="227"/>
      <c r="H40" s="227"/>
      <c r="I40" s="227"/>
      <c r="J40" s="227"/>
      <c r="K40" s="228"/>
      <c r="L40" s="3"/>
      <c r="M40" s="16"/>
      <c r="N40" s="16"/>
      <c r="O40" s="264"/>
      <c r="P40" s="208"/>
      <c r="Q40" s="208"/>
      <c r="R40" s="208"/>
      <c r="S40" s="208"/>
      <c r="T40" s="208"/>
      <c r="U40" s="208"/>
      <c r="V40" s="208"/>
      <c r="W40" s="208"/>
      <c r="X40" s="3"/>
      <c r="Y40" s="4"/>
      <c r="Z40" s="3"/>
      <c r="AA40" s="5"/>
      <c r="AB40" s="3"/>
      <c r="AC40" s="3"/>
    </row>
    <row r="41" spans="1:29" ht="9.75" customHeight="1" x14ac:dyDescent="0.3">
      <c r="A41" s="4"/>
      <c r="B41" s="3"/>
      <c r="C41" s="80" t="s">
        <v>9</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86</v>
      </c>
      <c r="D42" s="79"/>
      <c r="E42" s="266" t="s">
        <v>91</v>
      </c>
      <c r="F42" s="227"/>
      <c r="G42" s="227"/>
      <c r="H42" s="227"/>
      <c r="I42" s="227"/>
      <c r="J42" s="227"/>
      <c r="K42" s="228"/>
      <c r="L42" s="3"/>
      <c r="M42" s="16"/>
      <c r="N42" s="16"/>
      <c r="O42" s="264"/>
      <c r="P42" s="208"/>
      <c r="Q42" s="208"/>
      <c r="R42" s="208"/>
      <c r="S42" s="208"/>
      <c r="T42" s="208"/>
      <c r="U42" s="208"/>
      <c r="V42" s="208"/>
      <c r="W42" s="208"/>
      <c r="X42" s="3"/>
      <c r="Y42" s="4"/>
      <c r="Z42" s="3"/>
      <c r="AA42" s="5"/>
      <c r="AB42" s="3"/>
      <c r="AC42" s="3"/>
    </row>
    <row r="43" spans="1:29" ht="9.75" customHeight="1" x14ac:dyDescent="0.3">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x14ac:dyDescent="0.3">
      <c r="A44" s="4"/>
      <c r="B44" s="3"/>
      <c r="C44" s="74" t="s">
        <v>88</v>
      </c>
      <c r="D44" s="79"/>
      <c r="E44" s="262" t="s">
        <v>279</v>
      </c>
      <c r="F44" s="227"/>
      <c r="G44" s="227"/>
      <c r="H44" s="227"/>
      <c r="I44" s="227"/>
      <c r="J44" s="227"/>
      <c r="K44" s="228"/>
      <c r="L44" s="3"/>
      <c r="M44" s="16"/>
      <c r="N44" s="16"/>
      <c r="O44" s="264"/>
      <c r="P44" s="208"/>
      <c r="Q44" s="208"/>
      <c r="R44" s="208"/>
      <c r="S44" s="208"/>
      <c r="T44" s="208"/>
      <c r="U44" s="208"/>
      <c r="V44" s="208"/>
      <c r="W44" s="208"/>
      <c r="X44" s="3"/>
      <c r="Y44" s="4"/>
      <c r="Z44" s="3"/>
      <c r="AA44" s="5"/>
      <c r="AB44" s="3"/>
      <c r="AC44" s="3"/>
    </row>
    <row r="45" spans="1:29" ht="9.75" customHeight="1" x14ac:dyDescent="0.3">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89</v>
      </c>
      <c r="D46" s="79"/>
      <c r="E46" s="263" t="s">
        <v>280</v>
      </c>
      <c r="F46" s="227"/>
      <c r="G46" s="227"/>
      <c r="H46" s="227"/>
      <c r="I46" s="227"/>
      <c r="J46" s="227"/>
      <c r="K46" s="228"/>
      <c r="L46" s="3"/>
      <c r="M46" s="16"/>
      <c r="N46" s="16"/>
      <c r="O46" s="264"/>
      <c r="P46" s="208"/>
      <c r="Q46" s="208"/>
      <c r="R46" s="208"/>
      <c r="S46" s="208"/>
      <c r="T46" s="208"/>
      <c r="U46" s="208"/>
      <c r="V46" s="208"/>
      <c r="W46" s="208"/>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65" t="s">
        <v>92</v>
      </c>
      <c r="D48" s="200"/>
      <c r="E48" s="200"/>
      <c r="F48" s="200"/>
      <c r="G48" s="200"/>
      <c r="H48" s="200"/>
      <c r="I48" s="200"/>
      <c r="J48" s="200"/>
      <c r="K48" s="200"/>
      <c r="L48" s="200"/>
      <c r="M48" s="200"/>
      <c r="N48" s="200"/>
      <c r="O48" s="200"/>
      <c r="P48" s="200"/>
      <c r="Q48" s="200"/>
      <c r="R48" s="200"/>
      <c r="S48" s="200"/>
      <c r="T48" s="200"/>
      <c r="U48" s="201"/>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showGridLines="0" topLeftCell="A59" zoomScale="78" zoomScaleNormal="78" workbookViewId="0">
      <selection activeCell="M63" sqref="M63:R63"/>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796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202" t="s">
        <v>93</v>
      </c>
      <c r="B1" s="200"/>
      <c r="C1" s="200"/>
      <c r="D1" s="200"/>
      <c r="E1" s="200"/>
      <c r="F1" s="200"/>
      <c r="G1" s="200"/>
      <c r="H1" s="200"/>
      <c r="I1" s="200"/>
      <c r="J1" s="200"/>
      <c r="K1" s="200"/>
      <c r="L1" s="200"/>
      <c r="M1" s="200"/>
      <c r="N1" s="200"/>
      <c r="O1" s="200"/>
      <c r="P1" s="200"/>
      <c r="Q1" s="200"/>
      <c r="R1" s="200"/>
      <c r="S1" s="200"/>
      <c r="T1" s="200"/>
      <c r="U1" s="200"/>
      <c r="V1" s="200"/>
      <c r="W1" s="200"/>
      <c r="X1" s="201"/>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04" t="s">
        <v>2</v>
      </c>
      <c r="B4" s="205"/>
      <c r="C4" s="206"/>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7"/>
      <c r="B5" s="208"/>
      <c r="C5" s="209"/>
      <c r="D5" s="6"/>
      <c r="E5" s="301" t="str">
        <f>'1. Résumé'!E6</f>
        <v>FKT 03/18 Avaradrova</v>
      </c>
      <c r="F5" s="200"/>
      <c r="G5" s="200"/>
      <c r="H5" s="200"/>
      <c r="I5" s="201"/>
      <c r="J5" s="7"/>
      <c r="K5" s="261" t="str">
        <f>'1. Résumé'!G8</f>
        <v>Pays : Madagascar</v>
      </c>
      <c r="L5" s="200"/>
      <c r="M5" s="200"/>
      <c r="N5" s="200"/>
      <c r="O5" s="201"/>
      <c r="P5" s="7"/>
      <c r="Q5" s="7"/>
      <c r="R5" s="261" t="str">
        <f>'1. Résumé'!E10</f>
        <v>Société nationale : Croix-Rouge Malagasy</v>
      </c>
      <c r="S5" s="200"/>
      <c r="T5" s="200"/>
      <c r="U5" s="200"/>
      <c r="V5" s="201"/>
      <c r="W5" s="7"/>
      <c r="X5" s="7"/>
      <c r="Y5" s="3"/>
      <c r="Z5" s="3"/>
      <c r="AA5" s="3"/>
      <c r="AB5" s="3"/>
    </row>
    <row r="6" spans="1:28" ht="9.75" customHeight="1" x14ac:dyDescent="0.3">
      <c r="A6" s="210"/>
      <c r="B6" s="211"/>
      <c r="C6" s="212"/>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75" t="s">
        <v>94</v>
      </c>
      <c r="B8" s="200"/>
      <c r="C8" s="200"/>
      <c r="D8" s="200"/>
      <c r="E8" s="200"/>
      <c r="F8" s="200"/>
      <c r="G8" s="200"/>
      <c r="H8" s="200"/>
      <c r="I8" s="200"/>
      <c r="J8" s="200"/>
      <c r="K8" s="200"/>
      <c r="L8" s="200"/>
      <c r="M8" s="200"/>
      <c r="N8" s="200"/>
      <c r="O8" s="200"/>
      <c r="P8" s="200"/>
      <c r="Q8" s="200"/>
      <c r="R8" s="200"/>
      <c r="S8" s="200"/>
      <c r="T8" s="200"/>
      <c r="U8" s="200"/>
      <c r="V8" s="200"/>
      <c r="W8" s="200"/>
      <c r="X8" s="201"/>
      <c r="Y8" s="3"/>
      <c r="Z8" s="3"/>
      <c r="AA8" s="3"/>
      <c r="AB8" s="3" t="s">
        <v>9</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13" t="s">
        <v>95</v>
      </c>
      <c r="D10" s="200"/>
      <c r="E10" s="200"/>
      <c r="F10" s="200"/>
      <c r="G10" s="200"/>
      <c r="H10" s="200"/>
      <c r="I10" s="200"/>
      <c r="J10" s="200"/>
      <c r="K10" s="200"/>
      <c r="L10" s="200"/>
      <c r="M10" s="200"/>
      <c r="N10" s="200"/>
      <c r="O10" s="200"/>
      <c r="P10" s="200"/>
      <c r="Q10" s="200"/>
      <c r="R10" s="200"/>
      <c r="S10" s="200"/>
      <c r="T10" s="200"/>
      <c r="U10" s="200"/>
      <c r="V10" s="201"/>
      <c r="W10" s="3"/>
      <c r="X10" s="4"/>
      <c r="Y10" s="3"/>
      <c r="Z10" s="3"/>
      <c r="AA10" s="3"/>
      <c r="AB10" s="3"/>
    </row>
    <row r="11" spans="1:28" ht="9.75" customHeight="1" x14ac:dyDescent="0.3">
      <c r="A11" s="4"/>
      <c r="B11" s="3"/>
      <c r="C11" s="3" t="s">
        <v>9</v>
      </c>
      <c r="D11" s="3"/>
      <c r="E11" s="3"/>
      <c r="F11" s="3"/>
      <c r="G11" s="3"/>
      <c r="H11" s="3" t="s">
        <v>9</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52" t="s">
        <v>256</v>
      </c>
      <c r="D12" s="253"/>
      <c r="E12" s="253"/>
      <c r="F12" s="253"/>
      <c r="G12" s="253"/>
      <c r="H12" s="253"/>
      <c r="I12" s="253"/>
      <c r="J12" s="253"/>
      <c r="K12" s="253"/>
      <c r="L12" s="253"/>
      <c r="M12" s="253"/>
      <c r="N12" s="253"/>
      <c r="O12" s="253"/>
      <c r="P12" s="253"/>
      <c r="Q12" s="253"/>
      <c r="R12" s="253"/>
      <c r="S12" s="253"/>
      <c r="T12" s="253"/>
      <c r="U12" s="253"/>
      <c r="V12" s="254"/>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96</v>
      </c>
      <c r="B14" s="3"/>
      <c r="C14" s="302" t="s">
        <v>97</v>
      </c>
      <c r="D14" s="200"/>
      <c r="E14" s="200"/>
      <c r="F14" s="200"/>
      <c r="G14" s="200"/>
      <c r="H14" s="200"/>
      <c r="I14" s="200"/>
      <c r="J14" s="200"/>
      <c r="K14" s="201"/>
      <c r="L14" s="85"/>
      <c r="M14" s="302" t="s">
        <v>98</v>
      </c>
      <c r="N14" s="200"/>
      <c r="O14" s="200"/>
      <c r="P14" s="200"/>
      <c r="Q14" s="200"/>
      <c r="R14" s="200"/>
      <c r="S14" s="200"/>
      <c r="T14" s="200"/>
      <c r="U14" s="200"/>
      <c r="V14" s="201"/>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99</v>
      </c>
      <c r="D16" s="86"/>
      <c r="E16" s="252" t="s">
        <v>243</v>
      </c>
      <c r="F16" s="227"/>
      <c r="G16" s="227"/>
      <c r="H16" s="227"/>
      <c r="I16" s="227"/>
      <c r="J16" s="227"/>
      <c r="K16" s="228"/>
      <c r="L16" s="3"/>
      <c r="M16" s="87" t="s">
        <v>99</v>
      </c>
      <c r="N16" s="88"/>
      <c r="O16" s="252" t="s">
        <v>100</v>
      </c>
      <c r="P16" s="227"/>
      <c r="Q16" s="227"/>
      <c r="R16" s="227"/>
      <c r="S16" s="227"/>
      <c r="T16" s="227"/>
      <c r="U16" s="227"/>
      <c r="V16" s="228"/>
      <c r="W16" s="3"/>
      <c r="X16" s="4"/>
      <c r="Y16" s="3"/>
      <c r="Z16" s="3"/>
      <c r="AA16" s="3"/>
      <c r="AB16" s="3"/>
    </row>
    <row r="17" spans="1:28" ht="9.75" customHeight="1" x14ac:dyDescent="0.3">
      <c r="A17" s="4"/>
      <c r="B17" s="3"/>
      <c r="C17" s="88" t="s">
        <v>9</v>
      </c>
      <c r="D17" s="86"/>
      <c r="E17" s="86"/>
      <c r="F17" s="86"/>
      <c r="G17" s="86"/>
      <c r="H17" s="86"/>
      <c r="I17" s="86"/>
      <c r="J17" s="86"/>
      <c r="K17" s="86"/>
      <c r="L17" s="3"/>
      <c r="M17" s="88" t="s">
        <v>9</v>
      </c>
      <c r="N17" s="88"/>
      <c r="O17" s="86"/>
      <c r="P17" s="86"/>
      <c r="Q17" s="86"/>
      <c r="R17" s="86"/>
      <c r="S17" s="86"/>
      <c r="T17" s="86"/>
      <c r="U17" s="86"/>
      <c r="V17" s="86"/>
      <c r="W17" s="3"/>
      <c r="X17" s="4"/>
      <c r="Y17" s="3"/>
      <c r="Z17" s="3"/>
      <c r="AA17" s="3"/>
      <c r="AB17" s="3"/>
    </row>
    <row r="18" spans="1:28" ht="49.5" customHeight="1" x14ac:dyDescent="0.3">
      <c r="A18" s="4"/>
      <c r="B18" s="3"/>
      <c r="C18" s="87" t="s">
        <v>101</v>
      </c>
      <c r="D18" s="86"/>
      <c r="E18" s="252" t="s">
        <v>281</v>
      </c>
      <c r="F18" s="227"/>
      <c r="G18" s="227"/>
      <c r="H18" s="227"/>
      <c r="I18" s="227"/>
      <c r="J18" s="227"/>
      <c r="K18" s="228"/>
      <c r="L18" s="3"/>
      <c r="M18" s="87" t="s">
        <v>101</v>
      </c>
      <c r="N18" s="88"/>
      <c r="O18" s="262" t="s">
        <v>283</v>
      </c>
      <c r="P18" s="227"/>
      <c r="Q18" s="227"/>
      <c r="R18" s="227"/>
      <c r="S18" s="227"/>
      <c r="T18" s="227"/>
      <c r="U18" s="227"/>
      <c r="V18" s="228"/>
      <c r="W18" s="3"/>
      <c r="X18" s="4"/>
      <c r="Y18" s="3"/>
      <c r="Z18" s="3"/>
      <c r="AA18" s="3"/>
      <c r="AB18" s="3"/>
    </row>
    <row r="19" spans="1:28" ht="9.75" customHeight="1" x14ac:dyDescent="0.3">
      <c r="A19" s="4"/>
      <c r="B19" s="3"/>
      <c r="C19" s="88" t="s">
        <v>9</v>
      </c>
      <c r="D19" s="86"/>
      <c r="E19" s="86"/>
      <c r="F19" s="86"/>
      <c r="G19" s="86"/>
      <c r="H19" s="86"/>
      <c r="I19" s="86"/>
      <c r="J19" s="86"/>
      <c r="K19" s="86"/>
      <c r="L19" s="3"/>
      <c r="M19" s="88" t="s">
        <v>9</v>
      </c>
      <c r="N19" s="88"/>
      <c r="O19" s="86"/>
      <c r="P19" s="86"/>
      <c r="Q19" s="86"/>
      <c r="R19" s="86"/>
      <c r="S19" s="86"/>
      <c r="T19" s="86"/>
      <c r="U19" s="86"/>
      <c r="V19" s="86"/>
      <c r="W19" s="3"/>
      <c r="X19" s="4"/>
      <c r="Y19" s="3"/>
      <c r="Z19" s="3"/>
      <c r="AA19" s="3"/>
      <c r="AB19" s="3"/>
    </row>
    <row r="20" spans="1:28" ht="49.5" customHeight="1" x14ac:dyDescent="0.3">
      <c r="A20" s="4"/>
      <c r="B20" s="3"/>
      <c r="C20" s="87" t="s">
        <v>102</v>
      </c>
      <c r="D20" s="86"/>
      <c r="E20" s="252" t="s">
        <v>282</v>
      </c>
      <c r="F20" s="227"/>
      <c r="G20" s="227"/>
      <c r="H20" s="227"/>
      <c r="I20" s="227"/>
      <c r="J20" s="227"/>
      <c r="K20" s="228"/>
      <c r="L20" s="3"/>
      <c r="M20" s="87" t="s">
        <v>102</v>
      </c>
      <c r="N20" s="88"/>
      <c r="O20" s="262" t="s">
        <v>283</v>
      </c>
      <c r="P20" s="227"/>
      <c r="Q20" s="227"/>
      <c r="R20" s="227"/>
      <c r="S20" s="227"/>
      <c r="T20" s="227"/>
      <c r="U20" s="227"/>
      <c r="V20" s="228"/>
      <c r="W20" s="3"/>
      <c r="X20" s="4"/>
      <c r="Y20" s="3"/>
      <c r="Z20" s="3"/>
      <c r="AA20" s="3"/>
      <c r="AB20" s="3"/>
    </row>
    <row r="21" spans="1:28" ht="9.75" customHeight="1" x14ac:dyDescent="0.3">
      <c r="A21" s="4"/>
      <c r="B21" s="3"/>
      <c r="C21" s="88" t="s">
        <v>9</v>
      </c>
      <c r="D21" s="86"/>
      <c r="E21" s="86"/>
      <c r="F21" s="86"/>
      <c r="G21" s="86"/>
      <c r="H21" s="86"/>
      <c r="I21" s="86"/>
      <c r="J21" s="86"/>
      <c r="K21" s="86"/>
      <c r="L21" s="3"/>
      <c r="M21" s="88" t="s">
        <v>9</v>
      </c>
      <c r="N21" s="88"/>
      <c r="O21" s="86"/>
      <c r="P21" s="86"/>
      <c r="Q21" s="86"/>
      <c r="R21" s="86"/>
      <c r="S21" s="86"/>
      <c r="T21" s="86"/>
      <c r="U21" s="86"/>
      <c r="V21" s="86"/>
      <c r="W21" s="3"/>
      <c r="X21" s="4"/>
      <c r="Y21" s="3"/>
      <c r="Z21" s="3"/>
      <c r="AA21" s="3"/>
      <c r="AB21" s="3"/>
    </row>
    <row r="22" spans="1:28" ht="49.5" customHeight="1" x14ac:dyDescent="0.3">
      <c r="A22" s="4"/>
      <c r="B22" s="3"/>
      <c r="C22" s="87" t="s">
        <v>103</v>
      </c>
      <c r="D22" s="86"/>
      <c r="E22" s="252" t="s">
        <v>100</v>
      </c>
      <c r="F22" s="227"/>
      <c r="G22" s="227"/>
      <c r="H22" s="227"/>
      <c r="I22" s="227"/>
      <c r="J22" s="227"/>
      <c r="K22" s="228"/>
      <c r="L22" s="3"/>
      <c r="M22" s="87" t="s">
        <v>103</v>
      </c>
      <c r="N22" s="88"/>
      <c r="O22" s="262" t="s">
        <v>100</v>
      </c>
      <c r="P22" s="227"/>
      <c r="Q22" s="227"/>
      <c r="R22" s="227"/>
      <c r="S22" s="227"/>
      <c r="T22" s="227"/>
      <c r="U22" s="227"/>
      <c r="V22" s="228"/>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tr">
        <f>'3. Dangers'!C16</f>
        <v xml:space="preserve">Inondation </v>
      </c>
      <c r="D24" s="89"/>
      <c r="E24" s="300"/>
      <c r="F24" s="200"/>
      <c r="G24" s="200"/>
      <c r="H24" s="200"/>
      <c r="I24" s="200"/>
      <c r="J24" s="200"/>
      <c r="K24" s="201"/>
      <c r="L24" s="90"/>
      <c r="M24" s="91"/>
      <c r="N24" s="90"/>
      <c r="O24" s="90"/>
      <c r="P24" s="90"/>
      <c r="Q24" s="90"/>
      <c r="R24" s="90"/>
      <c r="S24" s="90"/>
      <c r="T24" s="90"/>
      <c r="U24" s="90"/>
      <c r="V24" s="90"/>
      <c r="W24" s="3"/>
      <c r="X24" s="4"/>
      <c r="Y24" s="3"/>
      <c r="Z24" s="3"/>
      <c r="AA24" s="3"/>
      <c r="AB24" s="3"/>
    </row>
    <row r="25" spans="1:28" ht="12" customHeight="1" x14ac:dyDescent="0.3">
      <c r="A25" s="4"/>
      <c r="B25" s="3"/>
      <c r="C25" s="295"/>
      <c r="D25" s="197"/>
      <c r="E25" s="197"/>
      <c r="F25" s="197"/>
      <c r="G25" s="197"/>
      <c r="H25" s="197"/>
      <c r="I25" s="197"/>
      <c r="J25" s="197"/>
      <c r="K25" s="197"/>
      <c r="L25" s="197"/>
      <c r="M25" s="197"/>
      <c r="N25" s="197"/>
      <c r="O25" s="197"/>
      <c r="P25" s="197"/>
      <c r="Q25" s="197"/>
      <c r="R25" s="197"/>
      <c r="S25" s="197"/>
      <c r="T25" s="197"/>
      <c r="U25" s="197"/>
      <c r="V25" s="198"/>
      <c r="W25" s="3"/>
      <c r="X25" s="4"/>
      <c r="Y25" s="3"/>
      <c r="Z25" s="3"/>
      <c r="AA25" s="3"/>
      <c r="AB25" s="3"/>
    </row>
    <row r="26" spans="1:28" ht="31.5" customHeight="1" x14ac:dyDescent="0.3">
      <c r="A26" s="4"/>
      <c r="B26" s="3"/>
      <c r="C26" s="299" t="s">
        <v>105</v>
      </c>
      <c r="D26" s="197"/>
      <c r="E26" s="197"/>
      <c r="F26" s="197"/>
      <c r="G26" s="197"/>
      <c r="H26" s="197"/>
      <c r="I26" s="197"/>
      <c r="J26" s="197"/>
      <c r="K26" s="197"/>
      <c r="L26" s="197"/>
      <c r="M26" s="197"/>
      <c r="N26" s="197"/>
      <c r="O26" s="197"/>
      <c r="P26" s="197"/>
      <c r="Q26" s="197"/>
      <c r="R26" s="197"/>
      <c r="S26" s="197"/>
      <c r="T26" s="197"/>
      <c r="U26" s="197"/>
      <c r="V26" s="198"/>
      <c r="W26" s="3"/>
      <c r="X26" s="4"/>
      <c r="Y26" s="3"/>
      <c r="Z26" s="3"/>
      <c r="AA26" s="3"/>
      <c r="AB26" s="3"/>
    </row>
    <row r="27" spans="1:28" ht="12" customHeight="1" x14ac:dyDescent="0.3">
      <c r="A27" s="4"/>
      <c r="B27" s="3"/>
      <c r="C27" s="295"/>
      <c r="D27" s="197"/>
      <c r="E27" s="197"/>
      <c r="F27" s="197"/>
      <c r="G27" s="197"/>
      <c r="H27" s="197"/>
      <c r="I27" s="197"/>
      <c r="J27" s="197"/>
      <c r="K27" s="197"/>
      <c r="L27" s="197"/>
      <c r="M27" s="197"/>
      <c r="N27" s="197"/>
      <c r="O27" s="197"/>
      <c r="P27" s="197"/>
      <c r="Q27" s="197"/>
      <c r="R27" s="197"/>
      <c r="S27" s="197"/>
      <c r="T27" s="197"/>
      <c r="U27" s="197"/>
      <c r="V27" s="198"/>
      <c r="W27" s="3"/>
      <c r="X27" s="4"/>
      <c r="Y27" s="3"/>
      <c r="Z27" s="3"/>
      <c r="AA27" s="3"/>
      <c r="AB27" s="3"/>
    </row>
    <row r="28" spans="1:28" ht="49.5" customHeight="1" x14ac:dyDescent="0.3">
      <c r="A28" s="4"/>
      <c r="B28" s="3"/>
      <c r="C28" s="293" t="s">
        <v>13</v>
      </c>
      <c r="D28" s="197"/>
      <c r="E28" s="198"/>
      <c r="F28" s="29"/>
      <c r="G28" s="289" t="s">
        <v>106</v>
      </c>
      <c r="H28" s="215"/>
      <c r="I28" s="215"/>
      <c r="J28" s="215"/>
      <c r="K28" s="290"/>
      <c r="L28" s="29"/>
      <c r="M28" s="289" t="s">
        <v>285</v>
      </c>
      <c r="N28" s="215"/>
      <c r="O28" s="215"/>
      <c r="P28" s="215"/>
      <c r="Q28" s="215"/>
      <c r="R28" s="290"/>
      <c r="S28" s="289" t="s">
        <v>107</v>
      </c>
      <c r="T28" s="215"/>
      <c r="U28" s="290"/>
      <c r="V28" s="92" t="s">
        <v>108</v>
      </c>
      <c r="W28" s="3"/>
      <c r="X28" s="4"/>
      <c r="Y28" s="3"/>
      <c r="Z28" s="3"/>
      <c r="AA28" s="3"/>
      <c r="AB28" s="3"/>
    </row>
    <row r="29" spans="1:28" ht="41.25" customHeight="1" x14ac:dyDescent="0.3">
      <c r="A29" s="4"/>
      <c r="B29" s="3"/>
      <c r="C29" s="291" t="s">
        <v>15</v>
      </c>
      <c r="D29" s="197"/>
      <c r="E29" s="198"/>
      <c r="F29" s="39"/>
      <c r="G29" s="252" t="s">
        <v>284</v>
      </c>
      <c r="H29" s="227"/>
      <c r="I29" s="227"/>
      <c r="J29" s="227"/>
      <c r="K29" s="228"/>
      <c r="L29" s="93"/>
      <c r="M29" s="252" t="s">
        <v>286</v>
      </c>
      <c r="N29" s="227"/>
      <c r="O29" s="227"/>
      <c r="P29" s="227"/>
      <c r="Q29" s="227"/>
      <c r="R29" s="228"/>
      <c r="S29" s="285" t="s">
        <v>110</v>
      </c>
      <c r="T29" s="227"/>
      <c r="U29" s="228"/>
      <c r="V29" s="94">
        <f t="shared" ref="V29:V38" si="0">IF(S29="---","",VLOOKUP(S29,$C$69:$D$72,2,FALSE))</f>
        <v>1</v>
      </c>
      <c r="W29" s="3"/>
      <c r="X29" s="4"/>
      <c r="Y29" s="3"/>
      <c r="Z29" s="3"/>
      <c r="AA29" s="3"/>
      <c r="AB29" s="3"/>
    </row>
    <row r="30" spans="1:28" ht="49.5" customHeight="1" x14ac:dyDescent="0.3">
      <c r="A30" s="4"/>
      <c r="B30" s="3"/>
      <c r="C30" s="292" t="s">
        <v>16</v>
      </c>
      <c r="D30" s="197"/>
      <c r="E30" s="198"/>
      <c r="F30" s="39"/>
      <c r="G30" s="232" t="s">
        <v>289</v>
      </c>
      <c r="H30" s="227"/>
      <c r="I30" s="227"/>
      <c r="J30" s="227"/>
      <c r="K30" s="228"/>
      <c r="L30" s="93"/>
      <c r="M30" s="282" t="s">
        <v>290</v>
      </c>
      <c r="N30" s="227"/>
      <c r="O30" s="227"/>
      <c r="P30" s="227"/>
      <c r="Q30" s="227"/>
      <c r="R30" s="228"/>
      <c r="S30" s="283" t="s">
        <v>110</v>
      </c>
      <c r="T30" s="227"/>
      <c r="U30" s="228"/>
      <c r="V30" s="94">
        <f t="shared" si="0"/>
        <v>1</v>
      </c>
      <c r="W30" s="3"/>
      <c r="X30" s="4"/>
      <c r="Y30" s="3"/>
      <c r="Z30" s="3"/>
      <c r="AA30" s="3"/>
      <c r="AB30" s="3"/>
    </row>
    <row r="31" spans="1:28" ht="49.5" customHeight="1" x14ac:dyDescent="0.3">
      <c r="A31" s="4"/>
      <c r="B31" s="3"/>
      <c r="C31" s="291" t="s">
        <v>17</v>
      </c>
      <c r="D31" s="197"/>
      <c r="E31" s="198"/>
      <c r="F31" s="39"/>
      <c r="G31" s="252" t="s">
        <v>291</v>
      </c>
      <c r="H31" s="227"/>
      <c r="I31" s="227"/>
      <c r="J31" s="227"/>
      <c r="K31" s="228"/>
      <c r="L31" s="93"/>
      <c r="M31" s="266" t="s">
        <v>292</v>
      </c>
      <c r="N31" s="227"/>
      <c r="O31" s="227"/>
      <c r="P31" s="227"/>
      <c r="Q31" s="227"/>
      <c r="R31" s="228"/>
      <c r="S31" s="285" t="s">
        <v>110</v>
      </c>
      <c r="T31" s="227"/>
      <c r="U31" s="228"/>
      <c r="V31" s="94">
        <f t="shared" si="0"/>
        <v>1</v>
      </c>
      <c r="W31" s="3"/>
      <c r="X31" s="4"/>
      <c r="Y31" s="3"/>
      <c r="Z31" s="3"/>
      <c r="AA31" s="3"/>
      <c r="AB31" s="3"/>
    </row>
    <row r="32" spans="1:28" ht="49.5" customHeight="1" x14ac:dyDescent="0.3">
      <c r="A32" s="4"/>
      <c r="B32" s="3"/>
      <c r="C32" s="292" t="s">
        <v>111</v>
      </c>
      <c r="D32" s="197"/>
      <c r="E32" s="198"/>
      <c r="F32" s="39"/>
      <c r="G32" s="232" t="s">
        <v>293</v>
      </c>
      <c r="H32" s="227"/>
      <c r="I32" s="227"/>
      <c r="J32" s="227"/>
      <c r="K32" s="228"/>
      <c r="L32" s="93"/>
      <c r="M32" s="232" t="s">
        <v>294</v>
      </c>
      <c r="N32" s="227"/>
      <c r="O32" s="227"/>
      <c r="P32" s="227"/>
      <c r="Q32" s="227"/>
      <c r="R32" s="228"/>
      <c r="S32" s="283" t="s">
        <v>109</v>
      </c>
      <c r="T32" s="227"/>
      <c r="U32" s="228"/>
      <c r="V32" s="94">
        <f t="shared" si="0"/>
        <v>0.67</v>
      </c>
      <c r="W32" s="3"/>
      <c r="X32" s="4"/>
      <c r="Y32" s="3"/>
      <c r="Z32" s="3"/>
      <c r="AA32" s="3"/>
      <c r="AB32" s="3"/>
    </row>
    <row r="33" spans="1:28" ht="49.5" customHeight="1" x14ac:dyDescent="0.3">
      <c r="A33" s="4"/>
      <c r="B33" s="3"/>
      <c r="C33" s="291" t="s">
        <v>19</v>
      </c>
      <c r="D33" s="197"/>
      <c r="E33" s="198"/>
      <c r="F33" s="39"/>
      <c r="G33" s="252" t="s">
        <v>288</v>
      </c>
      <c r="H33" s="227"/>
      <c r="I33" s="227"/>
      <c r="J33" s="227"/>
      <c r="K33" s="228"/>
      <c r="L33" s="93"/>
      <c r="M33" s="252" t="s">
        <v>295</v>
      </c>
      <c r="N33" s="227"/>
      <c r="O33" s="227"/>
      <c r="P33" s="227"/>
      <c r="Q33" s="227"/>
      <c r="R33" s="228"/>
      <c r="S33" s="285" t="s">
        <v>109</v>
      </c>
      <c r="T33" s="227"/>
      <c r="U33" s="228"/>
      <c r="V33" s="94">
        <f t="shared" si="0"/>
        <v>0.67</v>
      </c>
      <c r="W33" s="3"/>
      <c r="X33" s="4"/>
      <c r="Y33" s="3"/>
      <c r="Z33" s="3"/>
      <c r="AA33" s="3"/>
      <c r="AB33" s="3"/>
    </row>
    <row r="34" spans="1:28" ht="93" customHeight="1" x14ac:dyDescent="0.3">
      <c r="A34" s="4"/>
      <c r="B34" s="3"/>
      <c r="C34" s="292" t="s">
        <v>113</v>
      </c>
      <c r="D34" s="197"/>
      <c r="E34" s="198"/>
      <c r="F34" s="39"/>
      <c r="G34" s="232" t="s">
        <v>287</v>
      </c>
      <c r="H34" s="227"/>
      <c r="I34" s="227"/>
      <c r="J34" s="227"/>
      <c r="K34" s="228"/>
      <c r="L34" s="93"/>
      <c r="M34" s="232" t="s">
        <v>218</v>
      </c>
      <c r="N34" s="227"/>
      <c r="O34" s="227"/>
      <c r="P34" s="227"/>
      <c r="Q34" s="227"/>
      <c r="R34" s="228"/>
      <c r="S34" s="283" t="s">
        <v>109</v>
      </c>
      <c r="T34" s="227"/>
      <c r="U34" s="228"/>
      <c r="V34" s="94">
        <f t="shared" si="0"/>
        <v>0.67</v>
      </c>
      <c r="W34" s="3"/>
      <c r="X34" s="4"/>
      <c r="Y34" s="3"/>
      <c r="Z34" s="3"/>
      <c r="AA34" s="3"/>
      <c r="AB34" s="3"/>
    </row>
    <row r="35" spans="1:28" ht="49.5" customHeight="1" x14ac:dyDescent="0.3">
      <c r="A35" s="4"/>
      <c r="B35" s="3"/>
      <c r="C35" s="291" t="s">
        <v>114</v>
      </c>
      <c r="D35" s="197"/>
      <c r="E35" s="198"/>
      <c r="F35" s="39"/>
      <c r="G35" s="252" t="s">
        <v>296</v>
      </c>
      <c r="H35" s="227"/>
      <c r="I35" s="227"/>
      <c r="J35" s="227"/>
      <c r="K35" s="228"/>
      <c r="L35" s="93"/>
      <c r="M35" s="252" t="s">
        <v>297</v>
      </c>
      <c r="N35" s="227"/>
      <c r="O35" s="227"/>
      <c r="P35" s="227"/>
      <c r="Q35" s="227"/>
      <c r="R35" s="228"/>
      <c r="S35" s="285" t="s">
        <v>109</v>
      </c>
      <c r="T35" s="227"/>
      <c r="U35" s="228"/>
      <c r="V35" s="94">
        <f t="shared" si="0"/>
        <v>0.67</v>
      </c>
      <c r="W35" s="3"/>
      <c r="X35" s="4"/>
      <c r="Y35" s="3"/>
      <c r="Z35" s="3"/>
      <c r="AA35" s="3"/>
      <c r="AB35" s="3"/>
    </row>
    <row r="36" spans="1:28" ht="49.5" customHeight="1" x14ac:dyDescent="0.3">
      <c r="A36" s="4"/>
      <c r="B36" s="3"/>
      <c r="C36" s="292" t="s">
        <v>115</v>
      </c>
      <c r="D36" s="197"/>
      <c r="E36" s="198"/>
      <c r="F36" s="39"/>
      <c r="G36" s="279" t="s">
        <v>298</v>
      </c>
      <c r="H36" s="227"/>
      <c r="I36" s="227"/>
      <c r="J36" s="227"/>
      <c r="K36" s="228"/>
      <c r="L36" s="93"/>
      <c r="M36" s="279" t="s">
        <v>299</v>
      </c>
      <c r="N36" s="227"/>
      <c r="O36" s="227"/>
      <c r="P36" s="227"/>
      <c r="Q36" s="227"/>
      <c r="R36" s="228"/>
      <c r="S36" s="283" t="s">
        <v>109</v>
      </c>
      <c r="T36" s="227"/>
      <c r="U36" s="228"/>
      <c r="V36" s="94">
        <f t="shared" si="0"/>
        <v>0.67</v>
      </c>
      <c r="W36" s="3"/>
      <c r="X36" s="4"/>
      <c r="Y36" s="3"/>
      <c r="Z36" s="3"/>
      <c r="AA36" s="3"/>
      <c r="AB36" s="3"/>
    </row>
    <row r="37" spans="1:28" ht="49.5" hidden="1" customHeight="1" x14ac:dyDescent="0.3">
      <c r="A37" s="4"/>
      <c r="B37" s="3"/>
      <c r="C37" s="292" t="s">
        <v>116</v>
      </c>
      <c r="D37" s="197"/>
      <c r="E37" s="198"/>
      <c r="F37" s="39"/>
      <c r="G37" s="284" t="e">
        <f t="shared" ref="G37:G38" si="1">#REF!</f>
        <v>#REF!</v>
      </c>
      <c r="H37" s="227"/>
      <c r="I37" s="227"/>
      <c r="J37" s="227"/>
      <c r="K37" s="228"/>
      <c r="L37" s="93"/>
      <c r="M37" s="284" t="e">
        <f t="shared" ref="M37:M38" si="2">#REF!</f>
        <v>#REF!</v>
      </c>
      <c r="N37" s="227"/>
      <c r="O37" s="227"/>
      <c r="P37" s="227"/>
      <c r="Q37" s="227"/>
      <c r="R37" s="228"/>
      <c r="S37" s="283" t="e">
        <f t="shared" ref="S37:S38" si="3">#REF!</f>
        <v>#REF!</v>
      </c>
      <c r="T37" s="227"/>
      <c r="U37" s="228"/>
      <c r="V37" s="94" t="e">
        <f t="shared" si="0"/>
        <v>#REF!</v>
      </c>
      <c r="W37" s="3"/>
      <c r="X37" s="4"/>
      <c r="Y37" s="3"/>
      <c r="Z37" s="3"/>
      <c r="AA37" s="3"/>
      <c r="AB37" s="3"/>
    </row>
    <row r="38" spans="1:28" ht="49.5" hidden="1" customHeight="1" x14ac:dyDescent="0.3">
      <c r="A38" s="4"/>
      <c r="B38" s="3"/>
      <c r="C38" s="291" t="s">
        <v>117</v>
      </c>
      <c r="D38" s="197"/>
      <c r="E38" s="198"/>
      <c r="F38" s="39"/>
      <c r="G38" s="278" t="e">
        <f t="shared" si="1"/>
        <v>#REF!</v>
      </c>
      <c r="H38" s="227"/>
      <c r="I38" s="227"/>
      <c r="J38" s="227"/>
      <c r="K38" s="228"/>
      <c r="L38" s="93"/>
      <c r="M38" s="278" t="e">
        <f t="shared" si="2"/>
        <v>#REF!</v>
      </c>
      <c r="N38" s="227"/>
      <c r="O38" s="227"/>
      <c r="P38" s="227"/>
      <c r="Q38" s="227"/>
      <c r="R38" s="228"/>
      <c r="S38" s="283" t="e">
        <f t="shared" si="3"/>
        <v>#REF!</v>
      </c>
      <c r="T38" s="227"/>
      <c r="U38" s="228"/>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298"/>
      <c r="F40" s="200"/>
      <c r="G40" s="200"/>
      <c r="H40" s="200"/>
      <c r="I40" s="200"/>
      <c r="J40" s="200"/>
      <c r="K40" s="201"/>
      <c r="L40" s="97"/>
      <c r="M40" s="98"/>
      <c r="N40" s="97"/>
      <c r="O40" s="97"/>
      <c r="P40" s="97"/>
      <c r="Q40" s="97"/>
      <c r="R40" s="97"/>
      <c r="S40" s="97"/>
      <c r="T40" s="97"/>
      <c r="U40" s="97"/>
      <c r="V40" s="97"/>
      <c r="W40" s="3"/>
      <c r="X40" s="4"/>
      <c r="Y40" s="3"/>
      <c r="Z40" s="3"/>
      <c r="AA40" s="3"/>
      <c r="AB40" s="3"/>
    </row>
    <row r="41" spans="1:28" ht="12" customHeight="1" x14ac:dyDescent="0.3">
      <c r="A41" s="4"/>
      <c r="B41" s="3"/>
      <c r="C41" s="295"/>
      <c r="D41" s="197"/>
      <c r="E41" s="197"/>
      <c r="F41" s="197"/>
      <c r="G41" s="197"/>
      <c r="H41" s="197"/>
      <c r="I41" s="197"/>
      <c r="J41" s="197"/>
      <c r="K41" s="197"/>
      <c r="L41" s="197"/>
      <c r="M41" s="197"/>
      <c r="N41" s="197"/>
      <c r="O41" s="197"/>
      <c r="P41" s="197"/>
      <c r="Q41" s="197"/>
      <c r="R41" s="197"/>
      <c r="S41" s="197"/>
      <c r="T41" s="197"/>
      <c r="U41" s="197"/>
      <c r="V41" s="198"/>
      <c r="W41" s="3"/>
      <c r="X41" s="4"/>
      <c r="Y41" s="3"/>
      <c r="Z41" s="3"/>
      <c r="AA41" s="3"/>
      <c r="AB41" s="3"/>
    </row>
    <row r="42" spans="1:28" ht="49.5" customHeight="1" x14ac:dyDescent="0.3">
      <c r="A42" s="4"/>
      <c r="B42" s="3"/>
      <c r="C42" s="293" t="s">
        <v>13</v>
      </c>
      <c r="D42" s="197"/>
      <c r="E42" s="198"/>
      <c r="F42" s="29"/>
      <c r="G42" s="289" t="s">
        <v>118</v>
      </c>
      <c r="H42" s="215"/>
      <c r="I42" s="215"/>
      <c r="J42" s="215"/>
      <c r="K42" s="290"/>
      <c r="L42" s="29"/>
      <c r="M42" s="289" t="s">
        <v>119</v>
      </c>
      <c r="N42" s="215"/>
      <c r="O42" s="215"/>
      <c r="P42" s="215"/>
      <c r="Q42" s="215"/>
      <c r="R42" s="290"/>
      <c r="S42" s="289" t="s">
        <v>120</v>
      </c>
      <c r="T42" s="215"/>
      <c r="U42" s="290"/>
      <c r="V42" s="92" t="s">
        <v>108</v>
      </c>
      <c r="W42" s="3"/>
      <c r="X42" s="4"/>
      <c r="Y42" s="3"/>
      <c r="Z42" s="3"/>
      <c r="AA42" s="3"/>
      <c r="AB42" s="3"/>
    </row>
    <row r="43" spans="1:28" ht="49.5" customHeight="1" x14ac:dyDescent="0.3">
      <c r="A43" s="4"/>
      <c r="B43" s="3"/>
      <c r="C43" s="291" t="s">
        <v>15</v>
      </c>
      <c r="D43" s="197"/>
      <c r="E43" s="198"/>
      <c r="F43" s="39"/>
      <c r="G43" s="296" t="s">
        <v>300</v>
      </c>
      <c r="H43" s="227"/>
      <c r="I43" s="227"/>
      <c r="J43" s="227"/>
      <c r="K43" s="228"/>
      <c r="L43" s="93"/>
      <c r="M43" s="252" t="s">
        <v>301</v>
      </c>
      <c r="N43" s="227"/>
      <c r="O43" s="227"/>
      <c r="P43" s="227"/>
      <c r="Q43" s="227"/>
      <c r="R43" s="228"/>
      <c r="S43" s="294" t="s">
        <v>110</v>
      </c>
      <c r="T43" s="227"/>
      <c r="U43" s="228"/>
      <c r="V43" s="94">
        <f t="shared" ref="V43:V52" si="4">IF(S43="---","",VLOOKUP(S43,$C$69:$D$72,2,FALSE))</f>
        <v>1</v>
      </c>
      <c r="W43" s="3"/>
      <c r="X43" s="4"/>
      <c r="Y43" s="3"/>
      <c r="Z43" s="3"/>
      <c r="AA43" s="3"/>
      <c r="AB43" s="3"/>
    </row>
    <row r="44" spans="1:28" ht="49.5" customHeight="1" x14ac:dyDescent="0.3">
      <c r="A44" s="4"/>
      <c r="B44" s="3"/>
      <c r="C44" s="292" t="s">
        <v>16</v>
      </c>
      <c r="D44" s="197"/>
      <c r="E44" s="198"/>
      <c r="F44" s="39"/>
      <c r="G44" s="232" t="s">
        <v>302</v>
      </c>
      <c r="H44" s="227"/>
      <c r="I44" s="227"/>
      <c r="J44" s="227"/>
      <c r="K44" s="228"/>
      <c r="L44" s="93"/>
      <c r="M44" s="232" t="s">
        <v>303</v>
      </c>
      <c r="N44" s="227"/>
      <c r="O44" s="227"/>
      <c r="P44" s="227"/>
      <c r="Q44" s="227"/>
      <c r="R44" s="228"/>
      <c r="S44" s="283" t="s">
        <v>110</v>
      </c>
      <c r="T44" s="227"/>
      <c r="U44" s="228"/>
      <c r="V44" s="94">
        <f t="shared" si="4"/>
        <v>1</v>
      </c>
      <c r="W44" s="3"/>
      <c r="X44" s="4"/>
      <c r="Y44" s="3"/>
      <c r="Z44" s="3"/>
      <c r="AA44" s="3"/>
      <c r="AB44" s="3"/>
    </row>
    <row r="45" spans="1:28" ht="49.5" customHeight="1" x14ac:dyDescent="0.3">
      <c r="A45" s="4"/>
      <c r="B45" s="3"/>
      <c r="C45" s="291" t="s">
        <v>17</v>
      </c>
      <c r="D45" s="197"/>
      <c r="E45" s="198"/>
      <c r="F45" s="39"/>
      <c r="G45" s="252" t="s">
        <v>304</v>
      </c>
      <c r="H45" s="227"/>
      <c r="I45" s="227"/>
      <c r="J45" s="227"/>
      <c r="K45" s="228"/>
      <c r="L45" s="93"/>
      <c r="M45" s="252" t="s">
        <v>305</v>
      </c>
      <c r="N45" s="227"/>
      <c r="O45" s="227"/>
      <c r="P45" s="227"/>
      <c r="Q45" s="227"/>
      <c r="R45" s="228"/>
      <c r="S45" s="285" t="s">
        <v>110</v>
      </c>
      <c r="T45" s="227"/>
      <c r="U45" s="228"/>
      <c r="V45" s="94">
        <f t="shared" si="4"/>
        <v>1</v>
      </c>
      <c r="W45" s="3"/>
      <c r="X45" s="4"/>
      <c r="Y45" s="3"/>
      <c r="Z45" s="3"/>
      <c r="AA45" s="3"/>
      <c r="AB45" s="3"/>
    </row>
    <row r="46" spans="1:28" ht="49.5" customHeight="1" x14ac:dyDescent="0.3">
      <c r="A46" s="4" t="s">
        <v>9</v>
      </c>
      <c r="B46" s="3"/>
      <c r="C46" s="292" t="s">
        <v>111</v>
      </c>
      <c r="D46" s="197"/>
      <c r="E46" s="198"/>
      <c r="F46" s="39"/>
      <c r="G46" s="232" t="s">
        <v>306</v>
      </c>
      <c r="H46" s="227"/>
      <c r="I46" s="227"/>
      <c r="J46" s="227"/>
      <c r="K46" s="228"/>
      <c r="L46" s="93"/>
      <c r="M46" s="232" t="s">
        <v>307</v>
      </c>
      <c r="N46" s="227"/>
      <c r="O46" s="227"/>
      <c r="P46" s="227"/>
      <c r="Q46" s="227"/>
      <c r="R46" s="228"/>
      <c r="S46" s="283" t="s">
        <v>109</v>
      </c>
      <c r="T46" s="227"/>
      <c r="U46" s="228"/>
      <c r="V46" s="94">
        <f t="shared" si="4"/>
        <v>0.67</v>
      </c>
      <c r="W46" s="3"/>
      <c r="X46" s="4"/>
      <c r="Y46" s="3"/>
      <c r="Z46" s="3"/>
      <c r="AA46" s="3"/>
      <c r="AB46" s="3"/>
    </row>
    <row r="47" spans="1:28" ht="49.5" customHeight="1" x14ac:dyDescent="0.3">
      <c r="A47" s="4"/>
      <c r="B47" s="3"/>
      <c r="C47" s="291" t="s">
        <v>19</v>
      </c>
      <c r="D47" s="197"/>
      <c r="E47" s="198"/>
      <c r="F47" s="39"/>
      <c r="G47" s="266" t="s">
        <v>308</v>
      </c>
      <c r="H47" s="227"/>
      <c r="I47" s="227"/>
      <c r="J47" s="227"/>
      <c r="K47" s="228"/>
      <c r="L47" s="93"/>
      <c r="M47" s="263" t="s">
        <v>309</v>
      </c>
      <c r="N47" s="227"/>
      <c r="O47" s="227"/>
      <c r="P47" s="227"/>
      <c r="Q47" s="227"/>
      <c r="R47" s="228"/>
      <c r="S47" s="285" t="s">
        <v>110</v>
      </c>
      <c r="T47" s="227"/>
      <c r="U47" s="228"/>
      <c r="V47" s="94">
        <f t="shared" si="4"/>
        <v>1</v>
      </c>
      <c r="W47" s="3"/>
      <c r="X47" s="4"/>
      <c r="Y47" s="3"/>
      <c r="Z47" s="3"/>
      <c r="AA47" s="3"/>
      <c r="AB47" s="3"/>
    </row>
    <row r="48" spans="1:28" ht="56.25" customHeight="1" x14ac:dyDescent="0.3">
      <c r="A48" s="4"/>
      <c r="B48" s="3"/>
      <c r="C48" s="292" t="s">
        <v>113</v>
      </c>
      <c r="D48" s="197"/>
      <c r="E48" s="198"/>
      <c r="F48" s="39"/>
      <c r="G48" s="232" t="s">
        <v>310</v>
      </c>
      <c r="H48" s="227"/>
      <c r="I48" s="227"/>
      <c r="J48" s="227"/>
      <c r="K48" s="228"/>
      <c r="L48" s="93"/>
      <c r="M48" s="232" t="s">
        <v>122</v>
      </c>
      <c r="N48" s="227"/>
      <c r="O48" s="227"/>
      <c r="P48" s="227"/>
      <c r="Q48" s="227"/>
      <c r="R48" s="228"/>
      <c r="S48" s="283" t="s">
        <v>109</v>
      </c>
      <c r="T48" s="227"/>
      <c r="U48" s="228"/>
      <c r="V48" s="94">
        <f t="shared" si="4"/>
        <v>0.67</v>
      </c>
      <c r="W48" s="3"/>
      <c r="X48" s="4"/>
      <c r="Y48" s="3"/>
      <c r="Z48" s="3"/>
      <c r="AA48" s="3"/>
      <c r="AB48" s="3"/>
    </row>
    <row r="49" spans="1:28" ht="65.25" customHeight="1" x14ac:dyDescent="0.3">
      <c r="A49" s="4"/>
      <c r="B49" s="3"/>
      <c r="C49" s="291" t="s">
        <v>114</v>
      </c>
      <c r="D49" s="197"/>
      <c r="E49" s="198"/>
      <c r="F49" s="39"/>
      <c r="G49" s="252" t="s">
        <v>123</v>
      </c>
      <c r="H49" s="227"/>
      <c r="I49" s="227"/>
      <c r="J49" s="227"/>
      <c r="K49" s="228"/>
      <c r="L49" s="93"/>
      <c r="M49" s="252" t="s">
        <v>313</v>
      </c>
      <c r="N49" s="227"/>
      <c r="O49" s="227"/>
      <c r="P49" s="227"/>
      <c r="Q49" s="227"/>
      <c r="R49" s="228"/>
      <c r="S49" s="285" t="s">
        <v>110</v>
      </c>
      <c r="T49" s="227"/>
      <c r="U49" s="228"/>
      <c r="V49" s="94">
        <f t="shared" si="4"/>
        <v>1</v>
      </c>
      <c r="W49" s="3"/>
      <c r="X49" s="4"/>
      <c r="Y49" s="3"/>
      <c r="Z49" s="3"/>
      <c r="AA49" s="3"/>
      <c r="AB49" s="3"/>
    </row>
    <row r="50" spans="1:28" ht="49.5" customHeight="1" x14ac:dyDescent="0.3">
      <c r="A50" s="4"/>
      <c r="B50" s="3"/>
      <c r="C50" s="292" t="s">
        <v>115</v>
      </c>
      <c r="D50" s="197"/>
      <c r="E50" s="198"/>
      <c r="F50" s="39"/>
      <c r="G50" s="282" t="s">
        <v>311</v>
      </c>
      <c r="H50" s="227"/>
      <c r="I50" s="227"/>
      <c r="J50" s="227"/>
      <c r="K50" s="228"/>
      <c r="L50" s="93"/>
      <c r="M50" s="282" t="s">
        <v>312</v>
      </c>
      <c r="N50" s="227"/>
      <c r="O50" s="227"/>
      <c r="P50" s="227"/>
      <c r="Q50" s="227"/>
      <c r="R50" s="228"/>
      <c r="S50" s="283" t="s">
        <v>121</v>
      </c>
      <c r="T50" s="227"/>
      <c r="U50" s="228"/>
      <c r="V50" s="94" t="str">
        <f t="shared" si="4"/>
        <v/>
      </c>
      <c r="W50" s="3"/>
      <c r="X50" s="4"/>
      <c r="Y50" s="3"/>
      <c r="Z50" s="3"/>
      <c r="AA50" s="3"/>
      <c r="AB50" s="3"/>
    </row>
    <row r="51" spans="1:28" ht="49.5" hidden="1" customHeight="1" x14ac:dyDescent="0.3">
      <c r="A51" s="4"/>
      <c r="B51" s="3"/>
      <c r="C51" s="292" t="s">
        <v>116</v>
      </c>
      <c r="D51" s="197"/>
      <c r="E51" s="198"/>
      <c r="F51" s="39"/>
      <c r="G51" s="284" t="e">
        <f t="shared" ref="G51:G52" si="5">G37</f>
        <v>#REF!</v>
      </c>
      <c r="H51" s="227"/>
      <c r="I51" s="227"/>
      <c r="J51" s="227"/>
      <c r="K51" s="228"/>
      <c r="L51" s="93"/>
      <c r="M51" s="284" t="e">
        <f t="shared" ref="M51:M52" si="6">M37</f>
        <v>#REF!</v>
      </c>
      <c r="N51" s="227"/>
      <c r="O51" s="227"/>
      <c r="P51" s="227"/>
      <c r="Q51" s="227"/>
      <c r="R51" s="228"/>
      <c r="S51" s="285" t="s">
        <v>121</v>
      </c>
      <c r="T51" s="227"/>
      <c r="U51" s="228"/>
      <c r="V51" s="94" t="str">
        <f t="shared" si="4"/>
        <v/>
      </c>
      <c r="W51" s="3"/>
      <c r="X51" s="4"/>
      <c r="Y51" s="3"/>
      <c r="Z51" s="3"/>
      <c r="AA51" s="3"/>
      <c r="AB51" s="3"/>
    </row>
    <row r="52" spans="1:28" ht="49.5" hidden="1" customHeight="1" x14ac:dyDescent="0.3">
      <c r="A52" s="4"/>
      <c r="B52" s="3"/>
      <c r="C52" s="291" t="s">
        <v>117</v>
      </c>
      <c r="D52" s="197"/>
      <c r="E52" s="198"/>
      <c r="F52" s="39"/>
      <c r="G52" s="278" t="e">
        <f t="shared" si="5"/>
        <v>#REF!</v>
      </c>
      <c r="H52" s="227"/>
      <c r="I52" s="227"/>
      <c r="J52" s="227"/>
      <c r="K52" s="228"/>
      <c r="L52" s="93"/>
      <c r="M52" s="278" t="e">
        <f t="shared" si="6"/>
        <v>#REF!</v>
      </c>
      <c r="N52" s="227"/>
      <c r="O52" s="227"/>
      <c r="P52" s="227"/>
      <c r="Q52" s="227"/>
      <c r="R52" s="228"/>
      <c r="S52" s="285" t="s">
        <v>121</v>
      </c>
      <c r="T52" s="227"/>
      <c r="U52" s="228"/>
      <c r="V52" s="94" t="str">
        <f t="shared" si="4"/>
        <v/>
      </c>
      <c r="W52" s="3"/>
      <c r="X52" s="4"/>
      <c r="Y52" s="3"/>
      <c r="Z52" s="3"/>
      <c r="AA52" s="3"/>
      <c r="AB52" s="3"/>
    </row>
    <row r="53" spans="1:28" ht="12" customHeight="1" x14ac:dyDescent="0.3">
      <c r="A53" s="4"/>
      <c r="B53" s="3"/>
      <c r="C53" s="3"/>
      <c r="D53" s="3"/>
      <c r="E53" s="3"/>
      <c r="F53" s="3"/>
      <c r="G53" s="3"/>
      <c r="H53" s="3"/>
      <c r="I53" s="3"/>
      <c r="J53" s="3"/>
      <c r="K53" s="3"/>
      <c r="L53" s="3"/>
      <c r="M53" s="3"/>
      <c r="N53" s="3"/>
      <c r="O53" s="3"/>
      <c r="P53" s="3"/>
      <c r="Q53" s="3"/>
      <c r="R53" s="3"/>
      <c r="S53" s="3"/>
      <c r="T53" s="3"/>
      <c r="U53" s="3"/>
      <c r="V53" s="3"/>
      <c r="W53" s="3"/>
      <c r="X53" s="4"/>
      <c r="Y53" s="3"/>
      <c r="Z53" s="3"/>
      <c r="AA53" s="3"/>
      <c r="AB53" s="3"/>
    </row>
    <row r="54" spans="1:28" ht="31.5" customHeight="1" x14ac:dyDescent="0.3">
      <c r="A54" s="4"/>
      <c r="B54" s="3"/>
      <c r="C54" s="99" t="str">
        <f>'3. Dangers'!C32</f>
        <v xml:space="preserve">Epidémies </v>
      </c>
      <c r="D54" s="99"/>
      <c r="E54" s="297"/>
      <c r="F54" s="200"/>
      <c r="G54" s="200"/>
      <c r="H54" s="200"/>
      <c r="I54" s="200"/>
      <c r="J54" s="200"/>
      <c r="K54" s="201"/>
      <c r="L54" s="100"/>
      <c r="M54" s="101"/>
      <c r="N54" s="100"/>
      <c r="O54" s="100"/>
      <c r="P54" s="100"/>
      <c r="Q54" s="100"/>
      <c r="R54" s="100"/>
      <c r="S54" s="100"/>
      <c r="T54" s="100"/>
      <c r="U54" s="100"/>
      <c r="V54" s="100"/>
      <c r="W54" s="3"/>
      <c r="X54" s="4"/>
      <c r="Y54" s="3"/>
      <c r="Z54" s="3"/>
      <c r="AA54" s="3"/>
      <c r="AB54" s="3"/>
    </row>
    <row r="55" spans="1:28" ht="12" customHeight="1" x14ac:dyDescent="0.3">
      <c r="A55" s="4"/>
      <c r="B55" s="3"/>
      <c r="C55" s="295"/>
      <c r="D55" s="197"/>
      <c r="E55" s="197"/>
      <c r="F55" s="197"/>
      <c r="G55" s="197"/>
      <c r="H55" s="197"/>
      <c r="I55" s="197"/>
      <c r="J55" s="197"/>
      <c r="K55" s="197"/>
      <c r="L55" s="197"/>
      <c r="M55" s="197"/>
      <c r="N55" s="197"/>
      <c r="O55" s="197"/>
      <c r="P55" s="197"/>
      <c r="Q55" s="197"/>
      <c r="R55" s="197"/>
      <c r="S55" s="197"/>
      <c r="T55" s="197"/>
      <c r="U55" s="197"/>
      <c r="V55" s="198"/>
      <c r="W55" s="3"/>
      <c r="X55" s="4"/>
      <c r="Y55" s="3"/>
      <c r="Z55" s="3"/>
      <c r="AA55" s="3"/>
      <c r="AB55" s="3"/>
    </row>
    <row r="56" spans="1:28" ht="49.5" customHeight="1" x14ac:dyDescent="0.3">
      <c r="A56" s="4"/>
      <c r="B56" s="3"/>
      <c r="C56" s="293" t="s">
        <v>13</v>
      </c>
      <c r="D56" s="197"/>
      <c r="E56" s="198"/>
      <c r="F56" s="29"/>
      <c r="G56" s="289" t="s">
        <v>124</v>
      </c>
      <c r="H56" s="215"/>
      <c r="I56" s="215"/>
      <c r="J56" s="215"/>
      <c r="K56" s="290"/>
      <c r="L56" s="29"/>
      <c r="M56" s="289" t="s">
        <v>125</v>
      </c>
      <c r="N56" s="215"/>
      <c r="O56" s="215"/>
      <c r="P56" s="215"/>
      <c r="Q56" s="215"/>
      <c r="R56" s="290"/>
      <c r="S56" s="289" t="s">
        <v>126</v>
      </c>
      <c r="T56" s="215"/>
      <c r="U56" s="290"/>
      <c r="V56" s="92" t="s">
        <v>108</v>
      </c>
      <c r="W56" s="3"/>
      <c r="X56" s="4"/>
      <c r="Y56" s="3"/>
      <c r="Z56" s="3"/>
      <c r="AA56" s="3"/>
      <c r="AB56" s="3"/>
    </row>
    <row r="57" spans="1:28" ht="49.5" customHeight="1" x14ac:dyDescent="0.3">
      <c r="A57" s="4"/>
      <c r="B57" s="3"/>
      <c r="C57" s="291" t="s">
        <v>15</v>
      </c>
      <c r="D57" s="197"/>
      <c r="E57" s="198"/>
      <c r="F57" s="39"/>
      <c r="G57" s="263" t="s">
        <v>314</v>
      </c>
      <c r="H57" s="227"/>
      <c r="I57" s="227"/>
      <c r="J57" s="227"/>
      <c r="K57" s="228"/>
      <c r="L57" s="93"/>
      <c r="M57" s="263" t="s">
        <v>315</v>
      </c>
      <c r="N57" s="227"/>
      <c r="O57" s="227"/>
      <c r="P57" s="227"/>
      <c r="Q57" s="227"/>
      <c r="R57" s="228"/>
      <c r="S57" s="281" t="s">
        <v>110</v>
      </c>
      <c r="T57" s="227"/>
      <c r="U57" s="228"/>
      <c r="V57" s="94">
        <f t="shared" ref="V57:V66" si="7">IF(S57="---","",VLOOKUP(S57,$C$69:$D$72,2,FALSE))</f>
        <v>1</v>
      </c>
      <c r="W57" s="3"/>
      <c r="X57" s="4"/>
      <c r="Y57" s="3"/>
      <c r="Z57" s="3"/>
      <c r="AA57" s="3"/>
      <c r="AB57" s="3"/>
    </row>
    <row r="58" spans="1:28" ht="49.5" customHeight="1" x14ac:dyDescent="0.3">
      <c r="A58" s="4"/>
      <c r="B58" s="3"/>
      <c r="C58" s="292" t="s">
        <v>16</v>
      </c>
      <c r="D58" s="197"/>
      <c r="E58" s="198"/>
      <c r="F58" s="39"/>
      <c r="G58" s="232" t="s">
        <v>127</v>
      </c>
      <c r="H58" s="227"/>
      <c r="I58" s="227"/>
      <c r="J58" s="227"/>
      <c r="K58" s="228"/>
      <c r="L58" s="93"/>
      <c r="M58" s="279" t="s">
        <v>316</v>
      </c>
      <c r="N58" s="227"/>
      <c r="O58" s="227"/>
      <c r="P58" s="227"/>
      <c r="Q58" s="227"/>
      <c r="R58" s="228"/>
      <c r="S58" s="280" t="s">
        <v>110</v>
      </c>
      <c r="T58" s="227"/>
      <c r="U58" s="228"/>
      <c r="V58" s="94">
        <f t="shared" si="7"/>
        <v>1</v>
      </c>
      <c r="W58" s="3"/>
      <c r="X58" s="4"/>
      <c r="Y58" s="3"/>
      <c r="Z58" s="3"/>
      <c r="AA58" s="3"/>
      <c r="AB58" s="3"/>
    </row>
    <row r="59" spans="1:28" ht="49.5" customHeight="1" x14ac:dyDescent="0.3">
      <c r="A59" s="4"/>
      <c r="B59" s="3"/>
      <c r="C59" s="291" t="s">
        <v>17</v>
      </c>
      <c r="D59" s="197"/>
      <c r="E59" s="198"/>
      <c r="F59" s="39"/>
      <c r="G59" s="252" t="s">
        <v>317</v>
      </c>
      <c r="H59" s="227"/>
      <c r="I59" s="227"/>
      <c r="J59" s="227"/>
      <c r="K59" s="228"/>
      <c r="L59" s="93"/>
      <c r="M59" s="252" t="s">
        <v>128</v>
      </c>
      <c r="N59" s="227"/>
      <c r="O59" s="227"/>
      <c r="P59" s="227"/>
      <c r="Q59" s="227"/>
      <c r="R59" s="228"/>
      <c r="S59" s="281" t="s">
        <v>110</v>
      </c>
      <c r="T59" s="227"/>
      <c r="U59" s="228"/>
      <c r="V59" s="94">
        <f t="shared" si="7"/>
        <v>1</v>
      </c>
      <c r="W59" s="3"/>
      <c r="X59" s="4"/>
      <c r="Y59" s="3"/>
      <c r="Z59" s="3"/>
      <c r="AA59" s="3"/>
      <c r="AB59" s="3"/>
    </row>
    <row r="60" spans="1:28" ht="49.5" customHeight="1" x14ac:dyDescent="0.3">
      <c r="A60" s="4"/>
      <c r="B60" s="3"/>
      <c r="C60" s="292" t="s">
        <v>111</v>
      </c>
      <c r="D60" s="197"/>
      <c r="E60" s="198"/>
      <c r="F60" s="39"/>
      <c r="G60" s="282" t="s">
        <v>318</v>
      </c>
      <c r="H60" s="227"/>
      <c r="I60" s="227"/>
      <c r="J60" s="227"/>
      <c r="K60" s="228"/>
      <c r="L60" s="184"/>
      <c r="M60" s="282" t="s">
        <v>319</v>
      </c>
      <c r="N60" s="227"/>
      <c r="O60" s="227"/>
      <c r="P60" s="227"/>
      <c r="Q60" s="227"/>
      <c r="R60" s="228"/>
      <c r="S60" s="280" t="s">
        <v>112</v>
      </c>
      <c r="T60" s="227"/>
      <c r="U60" s="228"/>
      <c r="V60" s="94">
        <f t="shared" si="7"/>
        <v>0.33</v>
      </c>
      <c r="W60" s="3"/>
      <c r="X60" s="4"/>
      <c r="Y60" s="3"/>
      <c r="Z60" s="3"/>
      <c r="AA60" s="3"/>
      <c r="AB60" s="3"/>
    </row>
    <row r="61" spans="1:28" ht="49.5" customHeight="1" x14ac:dyDescent="0.3">
      <c r="A61" s="4"/>
      <c r="B61" s="3"/>
      <c r="C61" s="291" t="s">
        <v>19</v>
      </c>
      <c r="D61" s="197"/>
      <c r="E61" s="198"/>
      <c r="F61" s="39"/>
      <c r="G61" s="252" t="s">
        <v>320</v>
      </c>
      <c r="H61" s="227"/>
      <c r="I61" s="227"/>
      <c r="J61" s="227"/>
      <c r="K61" s="228"/>
      <c r="L61" s="93"/>
      <c r="M61" s="252" t="s">
        <v>321</v>
      </c>
      <c r="N61" s="227"/>
      <c r="O61" s="227"/>
      <c r="P61" s="227"/>
      <c r="Q61" s="227"/>
      <c r="R61" s="228"/>
      <c r="S61" s="281" t="s">
        <v>110</v>
      </c>
      <c r="T61" s="227"/>
      <c r="U61" s="228"/>
      <c r="V61" s="94">
        <f t="shared" si="7"/>
        <v>1</v>
      </c>
      <c r="W61" s="3"/>
      <c r="X61" s="4"/>
      <c r="Y61" s="3"/>
      <c r="Z61" s="3"/>
      <c r="AA61" s="3"/>
      <c r="AB61" s="3"/>
    </row>
    <row r="62" spans="1:28" ht="93" customHeight="1" x14ac:dyDescent="0.3">
      <c r="A62" s="4"/>
      <c r="B62" s="3"/>
      <c r="C62" s="292" t="s">
        <v>113</v>
      </c>
      <c r="D62" s="197"/>
      <c r="E62" s="198"/>
      <c r="F62" s="39"/>
      <c r="G62" s="286" t="s">
        <v>322</v>
      </c>
      <c r="H62" s="287"/>
      <c r="I62" s="287"/>
      <c r="J62" s="287"/>
      <c r="K62" s="288"/>
      <c r="L62" s="172"/>
      <c r="M62" s="286" t="s">
        <v>323</v>
      </c>
      <c r="N62" s="287"/>
      <c r="O62" s="287"/>
      <c r="P62" s="287"/>
      <c r="Q62" s="287"/>
      <c r="R62" s="288"/>
      <c r="S62" s="280" t="s">
        <v>109</v>
      </c>
      <c r="T62" s="227"/>
      <c r="U62" s="228"/>
      <c r="V62" s="94">
        <f t="shared" si="7"/>
        <v>0.67</v>
      </c>
      <c r="W62" s="3"/>
      <c r="X62" s="4"/>
      <c r="Y62" s="3"/>
      <c r="Z62" s="3"/>
      <c r="AA62" s="3"/>
      <c r="AB62" s="3"/>
    </row>
    <row r="63" spans="1:28" ht="49.5" customHeight="1" x14ac:dyDescent="0.3">
      <c r="A63" s="4"/>
      <c r="B63" s="3"/>
      <c r="C63" s="291" t="s">
        <v>114</v>
      </c>
      <c r="D63" s="197"/>
      <c r="E63" s="198"/>
      <c r="F63" s="39"/>
      <c r="G63" s="252" t="s">
        <v>324</v>
      </c>
      <c r="H63" s="227"/>
      <c r="I63" s="227"/>
      <c r="J63" s="227"/>
      <c r="K63" s="228"/>
      <c r="L63" s="93"/>
      <c r="M63" s="252" t="s">
        <v>325</v>
      </c>
      <c r="N63" s="227"/>
      <c r="O63" s="227"/>
      <c r="P63" s="227"/>
      <c r="Q63" s="227"/>
      <c r="R63" s="228"/>
      <c r="S63" s="285" t="s">
        <v>109</v>
      </c>
      <c r="T63" s="227"/>
      <c r="U63" s="228"/>
      <c r="V63" s="94">
        <f t="shared" si="7"/>
        <v>0.67</v>
      </c>
      <c r="W63" s="3"/>
      <c r="X63" s="4"/>
      <c r="Y63" s="3"/>
      <c r="Z63" s="3"/>
      <c r="AA63" s="3"/>
      <c r="AB63" s="3"/>
    </row>
    <row r="64" spans="1:28" ht="49.5" customHeight="1" x14ac:dyDescent="0.3">
      <c r="A64" s="4"/>
      <c r="B64" s="3"/>
      <c r="C64" s="292" t="s">
        <v>115</v>
      </c>
      <c r="D64" s="197"/>
      <c r="E64" s="198"/>
      <c r="F64" s="39"/>
      <c r="G64" s="282" t="s">
        <v>326</v>
      </c>
      <c r="H64" s="227"/>
      <c r="I64" s="227"/>
      <c r="J64" s="227"/>
      <c r="K64" s="228"/>
      <c r="L64" s="93"/>
      <c r="M64" s="282" t="s">
        <v>327</v>
      </c>
      <c r="N64" s="227"/>
      <c r="O64" s="227"/>
      <c r="P64" s="227"/>
      <c r="Q64" s="227"/>
      <c r="R64" s="228"/>
      <c r="S64" s="283" t="s">
        <v>112</v>
      </c>
      <c r="T64" s="227"/>
      <c r="U64" s="228"/>
      <c r="V64" s="94">
        <f t="shared" si="7"/>
        <v>0.33</v>
      </c>
      <c r="W64" s="3"/>
      <c r="X64" s="4"/>
      <c r="Y64" s="3"/>
      <c r="Z64" s="3"/>
      <c r="AA64" s="3"/>
      <c r="AB64" s="3"/>
    </row>
    <row r="65" spans="1:28" ht="49.5" hidden="1" customHeight="1" x14ac:dyDescent="0.3">
      <c r="A65" s="4"/>
      <c r="B65" s="3"/>
      <c r="C65" s="292" t="s">
        <v>116</v>
      </c>
      <c r="D65" s="197"/>
      <c r="E65" s="198"/>
      <c r="F65" s="39"/>
      <c r="G65" s="284" t="e">
        <f t="shared" ref="G65:G66" si="8">G51</f>
        <v>#REF!</v>
      </c>
      <c r="H65" s="227"/>
      <c r="I65" s="227"/>
      <c r="J65" s="227"/>
      <c r="K65" s="228"/>
      <c r="L65" s="93"/>
      <c r="M65" s="284" t="e">
        <f t="shared" ref="M65:M66" si="9">M51</f>
        <v>#REF!</v>
      </c>
      <c r="N65" s="227"/>
      <c r="O65" s="227"/>
      <c r="P65" s="227"/>
      <c r="Q65" s="227"/>
      <c r="R65" s="228"/>
      <c r="S65" s="283" t="s">
        <v>121</v>
      </c>
      <c r="T65" s="227"/>
      <c r="U65" s="228"/>
      <c r="V65" s="94" t="str">
        <f t="shared" si="7"/>
        <v/>
      </c>
      <c r="W65" s="3"/>
      <c r="X65" s="4"/>
      <c r="Y65" s="3"/>
      <c r="Z65" s="3"/>
      <c r="AA65" s="3"/>
      <c r="AB65" s="3"/>
    </row>
    <row r="66" spans="1:28" ht="49.5" hidden="1" customHeight="1" x14ac:dyDescent="0.3">
      <c r="A66" s="4"/>
      <c r="B66" s="3"/>
      <c r="C66" s="291" t="s">
        <v>117</v>
      </c>
      <c r="D66" s="197"/>
      <c r="E66" s="198"/>
      <c r="F66" s="39"/>
      <c r="G66" s="278" t="e">
        <f t="shared" si="8"/>
        <v>#REF!</v>
      </c>
      <c r="H66" s="227"/>
      <c r="I66" s="227"/>
      <c r="J66" s="227"/>
      <c r="K66" s="228"/>
      <c r="L66" s="93"/>
      <c r="M66" s="278" t="e">
        <f t="shared" si="9"/>
        <v>#REF!</v>
      </c>
      <c r="N66" s="227"/>
      <c r="O66" s="227"/>
      <c r="P66" s="227"/>
      <c r="Q66" s="227"/>
      <c r="R66" s="228"/>
      <c r="S66" s="285" t="s">
        <v>121</v>
      </c>
      <c r="T66" s="227"/>
      <c r="U66" s="228"/>
      <c r="V66" s="94" t="str">
        <f t="shared" si="7"/>
        <v/>
      </c>
      <c r="W66" s="3"/>
      <c r="X66" s="4"/>
      <c r="Y66" s="3"/>
      <c r="Z66" s="3"/>
      <c r="AA66" s="3"/>
      <c r="AB66" s="3"/>
    </row>
    <row r="67" spans="1:28" ht="12" customHeight="1" x14ac:dyDescent="0.3">
      <c r="A67" s="4"/>
      <c r="B67" s="3"/>
      <c r="C67" s="3"/>
      <c r="D67" s="3"/>
      <c r="E67" s="3"/>
      <c r="F67" s="3"/>
      <c r="G67" s="3"/>
      <c r="H67" s="3"/>
      <c r="I67" s="3"/>
      <c r="J67" s="3"/>
      <c r="K67" s="3"/>
      <c r="L67" s="3"/>
      <c r="M67" s="3"/>
      <c r="N67" s="3"/>
      <c r="O67" s="3"/>
      <c r="P67" s="3"/>
      <c r="Q67" s="3"/>
      <c r="R67" s="3"/>
      <c r="S67" s="3"/>
      <c r="T67" s="3"/>
      <c r="U67" s="3"/>
      <c r="V67" s="3"/>
      <c r="W67" s="3"/>
      <c r="X67" s="4"/>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t="s">
        <v>110</v>
      </c>
      <c r="D69" s="102">
        <v>1</v>
      </c>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t="s">
        <v>109</v>
      </c>
      <c r="D70" s="102">
        <v>0.67</v>
      </c>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t="s">
        <v>112</v>
      </c>
      <c r="D71" s="102">
        <v>0.33</v>
      </c>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t="s">
        <v>129</v>
      </c>
      <c r="D72" s="102">
        <v>0</v>
      </c>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103" t="s">
        <v>121</v>
      </c>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8">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7:K47"/>
    <mergeCell ref="M47:R47"/>
    <mergeCell ref="S47:U47"/>
    <mergeCell ref="G48:K48"/>
    <mergeCell ref="M48:R48"/>
    <mergeCell ref="S48:U48"/>
    <mergeCell ref="E54:K54"/>
    <mergeCell ref="C55:V55"/>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C47:E47"/>
    <mergeCell ref="C60:E60"/>
    <mergeCell ref="C61:E61"/>
    <mergeCell ref="C62:E62"/>
    <mergeCell ref="C63:E63"/>
    <mergeCell ref="C64:E64"/>
    <mergeCell ref="C65:E65"/>
    <mergeCell ref="C66:E66"/>
    <mergeCell ref="C50:E50"/>
    <mergeCell ref="C51:E51"/>
    <mergeCell ref="C52:E52"/>
    <mergeCell ref="C56:E56"/>
    <mergeCell ref="C57:E57"/>
    <mergeCell ref="C58:E58"/>
    <mergeCell ref="C59:E59"/>
    <mergeCell ref="C48:E48"/>
    <mergeCell ref="C49:E49"/>
    <mergeCell ref="G49:K49"/>
    <mergeCell ref="M49:R49"/>
    <mergeCell ref="S49:U49"/>
    <mergeCell ref="M50:R50"/>
    <mergeCell ref="S50:U50"/>
    <mergeCell ref="G50:K50"/>
    <mergeCell ref="G51:K51"/>
    <mergeCell ref="M51:R51"/>
    <mergeCell ref="S51:U51"/>
    <mergeCell ref="G52:K52"/>
    <mergeCell ref="M52:R52"/>
    <mergeCell ref="S52:U52"/>
    <mergeCell ref="G60:K60"/>
    <mergeCell ref="G61:K61"/>
    <mergeCell ref="G62:K62"/>
    <mergeCell ref="G63:K63"/>
    <mergeCell ref="G64:K64"/>
    <mergeCell ref="G65:K65"/>
    <mergeCell ref="G56:K56"/>
    <mergeCell ref="M56:R56"/>
    <mergeCell ref="S56:U56"/>
    <mergeCell ref="M57:R57"/>
    <mergeCell ref="S57:U57"/>
    <mergeCell ref="G66:K66"/>
    <mergeCell ref="G57:K57"/>
    <mergeCell ref="G58:K58"/>
    <mergeCell ref="M58:R58"/>
    <mergeCell ref="S58:U58"/>
    <mergeCell ref="G59:K59"/>
    <mergeCell ref="S59:U59"/>
    <mergeCell ref="S60:U60"/>
    <mergeCell ref="M63:R63"/>
    <mergeCell ref="M64:R64"/>
    <mergeCell ref="S64:U64"/>
    <mergeCell ref="M65:R65"/>
    <mergeCell ref="S65:U65"/>
    <mergeCell ref="M66:R66"/>
    <mergeCell ref="S66:U66"/>
    <mergeCell ref="M59:R59"/>
    <mergeCell ref="M60:R60"/>
    <mergeCell ref="M61:R61"/>
    <mergeCell ref="S61:U61"/>
    <mergeCell ref="M62:R62"/>
    <mergeCell ref="S62:U62"/>
    <mergeCell ref="S63:U63"/>
  </mergeCells>
  <conditionalFormatting sqref="V29:V38 V43:V52 V57:V66">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2 S57:S66" xr:uid="{00000000-0002-0000-0400-000000000000}">
      <formula1>$C$69:$C$73</formula1>
    </dataValidation>
  </dataValidations>
  <pageMargins left="0.25" right="0.25" top="0.75" bottom="0.75" header="0" footer="0"/>
  <pageSetup paperSize="9" orientation="portrait"/>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49" zoomScale="82" zoomScaleNormal="82" workbookViewId="0">
      <selection activeCell="M53" sqref="M53:O53"/>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296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202" t="s">
        <v>130</v>
      </c>
      <c r="B1" s="200"/>
      <c r="C1" s="200"/>
      <c r="D1" s="200"/>
      <c r="E1" s="200"/>
      <c r="F1" s="200"/>
      <c r="G1" s="200"/>
      <c r="H1" s="200"/>
      <c r="I1" s="200"/>
      <c r="J1" s="200"/>
      <c r="K1" s="200"/>
      <c r="L1" s="200"/>
      <c r="M1" s="200"/>
      <c r="N1" s="200"/>
      <c r="O1" s="200"/>
      <c r="P1" s="200"/>
      <c r="Q1" s="200"/>
      <c r="R1" s="20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4" t="s">
        <v>2</v>
      </c>
      <c r="B4" s="205"/>
      <c r="C4" s="206"/>
      <c r="D4" s="6"/>
      <c r="E4" s="7"/>
      <c r="F4" s="7"/>
      <c r="G4" s="7"/>
      <c r="H4" s="7"/>
      <c r="I4" s="7"/>
      <c r="J4" s="7"/>
      <c r="K4" s="7"/>
      <c r="L4" s="7"/>
      <c r="M4" s="7"/>
      <c r="N4" s="7"/>
      <c r="O4" s="7"/>
      <c r="P4" s="7"/>
      <c r="Q4" s="7"/>
      <c r="R4" s="7"/>
      <c r="S4" s="3"/>
      <c r="T4" s="3"/>
      <c r="U4" s="3"/>
      <c r="V4" s="3"/>
      <c r="W4" s="3"/>
      <c r="X4" s="3"/>
      <c r="Y4" s="3"/>
      <c r="Z4" s="3"/>
    </row>
    <row r="5" spans="1:26" ht="31.5" customHeight="1" x14ac:dyDescent="0.3">
      <c r="A5" s="207"/>
      <c r="B5" s="208"/>
      <c r="C5" s="209"/>
      <c r="D5" s="6"/>
      <c r="E5" s="301" t="str">
        <f>'1. Résumé'!E6</f>
        <v>FKT 03/18 Avaradrova</v>
      </c>
      <c r="F5" s="200"/>
      <c r="G5" s="200"/>
      <c r="H5" s="200"/>
      <c r="I5" s="201"/>
      <c r="J5" s="7"/>
      <c r="K5" s="261" t="str">
        <f>'1. Résumé'!G8</f>
        <v>Pays : Madagascar</v>
      </c>
      <c r="L5" s="201"/>
      <c r="M5" s="261"/>
      <c r="N5" s="200"/>
      <c r="O5" s="200"/>
      <c r="P5" s="201"/>
      <c r="Q5" s="7"/>
      <c r="R5" s="7"/>
      <c r="S5" s="3"/>
      <c r="T5" s="3"/>
      <c r="U5" s="3"/>
      <c r="V5" s="3"/>
      <c r="W5" s="3"/>
      <c r="X5" s="3"/>
      <c r="Y5" s="3"/>
      <c r="Z5" s="3"/>
    </row>
    <row r="6" spans="1:26" ht="9.75" customHeight="1" x14ac:dyDescent="0.3">
      <c r="A6" s="210"/>
      <c r="B6" s="211"/>
      <c r="C6" s="212"/>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5" t="s">
        <v>131</v>
      </c>
      <c r="B8" s="200"/>
      <c r="C8" s="200"/>
      <c r="D8" s="200"/>
      <c r="E8" s="200"/>
      <c r="F8" s="200"/>
      <c r="G8" s="200"/>
      <c r="H8" s="200"/>
      <c r="I8" s="200"/>
      <c r="J8" s="200"/>
      <c r="K8" s="200"/>
      <c r="L8" s="200"/>
      <c r="M8" s="200"/>
      <c r="N8" s="200"/>
      <c r="O8" s="200"/>
      <c r="P8" s="200"/>
      <c r="Q8" s="200"/>
      <c r="R8" s="201"/>
      <c r="S8" s="3"/>
      <c r="T8" s="3"/>
      <c r="U8" s="3"/>
      <c r="V8" s="3" t="s">
        <v>9</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02" t="s">
        <v>132</v>
      </c>
      <c r="D10" s="200"/>
      <c r="E10" s="200"/>
      <c r="F10" s="200"/>
      <c r="G10" s="200"/>
      <c r="H10" s="200"/>
      <c r="I10" s="200"/>
      <c r="J10" s="200"/>
      <c r="K10" s="200"/>
      <c r="L10" s="200"/>
      <c r="M10" s="200"/>
      <c r="N10" s="200"/>
      <c r="O10" s="200"/>
      <c r="P10" s="201"/>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13" t="s">
        <v>133</v>
      </c>
      <c r="D12" s="200"/>
      <c r="E12" s="200"/>
      <c r="F12" s="200"/>
      <c r="G12" s="200"/>
      <c r="H12" s="200"/>
      <c r="I12" s="200"/>
      <c r="J12" s="200"/>
      <c r="K12" s="200"/>
      <c r="L12" s="200"/>
      <c r="M12" s="200"/>
      <c r="N12" s="200"/>
      <c r="O12" s="200"/>
      <c r="P12" s="201"/>
      <c r="Q12" s="3"/>
      <c r="R12" s="4"/>
      <c r="S12" s="3"/>
      <c r="T12" s="3"/>
      <c r="U12" s="3"/>
      <c r="V12" s="3"/>
      <c r="W12" s="3"/>
      <c r="X12" s="3"/>
      <c r="Y12" s="3"/>
      <c r="Z12" s="3"/>
    </row>
    <row r="13" spans="1:26" ht="9.75" customHeight="1" x14ac:dyDescent="0.3">
      <c r="A13" s="4"/>
      <c r="B13" s="3"/>
      <c r="C13" s="3" t="s">
        <v>9</v>
      </c>
      <c r="D13" s="3"/>
      <c r="E13" s="3"/>
      <c r="F13" s="3"/>
      <c r="G13" s="3"/>
      <c r="H13" s="3" t="s">
        <v>9</v>
      </c>
      <c r="I13" s="3"/>
      <c r="J13" s="3"/>
      <c r="K13" s="3"/>
      <c r="L13" s="3"/>
      <c r="M13" s="3"/>
      <c r="N13" s="3"/>
      <c r="O13" s="3"/>
      <c r="P13" s="3"/>
      <c r="Q13" s="3"/>
      <c r="R13" s="4"/>
      <c r="S13" s="3"/>
      <c r="T13" s="3"/>
      <c r="U13" s="3"/>
      <c r="V13" s="3"/>
      <c r="W13" s="3"/>
      <c r="X13" s="3"/>
      <c r="Y13" s="3"/>
      <c r="Z13" s="3"/>
    </row>
    <row r="14" spans="1:26" ht="72.75" customHeight="1" x14ac:dyDescent="0.3">
      <c r="A14" s="4"/>
      <c r="B14" s="3"/>
      <c r="C14" s="262" t="s">
        <v>261</v>
      </c>
      <c r="D14" s="227"/>
      <c r="E14" s="227"/>
      <c r="F14" s="227"/>
      <c r="G14" s="227"/>
      <c r="H14" s="227"/>
      <c r="I14" s="227"/>
      <c r="J14" s="227"/>
      <c r="K14" s="227"/>
      <c r="L14" s="227"/>
      <c r="M14" s="227"/>
      <c r="N14" s="227"/>
      <c r="O14" s="227"/>
      <c r="P14" s="228"/>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tr">
        <f>'3. Dangers'!C16</f>
        <v xml:space="preserve">Inondation </v>
      </c>
      <c r="D16" s="23"/>
      <c r="E16" s="300"/>
      <c r="F16" s="200"/>
      <c r="G16" s="200"/>
      <c r="H16" s="200"/>
      <c r="I16" s="200"/>
      <c r="J16" s="200"/>
      <c r="K16" s="201"/>
      <c r="L16" s="90"/>
      <c r="M16" s="90"/>
      <c r="N16" s="90"/>
      <c r="O16" s="90"/>
      <c r="P16" s="90"/>
      <c r="Q16" s="3"/>
      <c r="R16" s="4"/>
      <c r="S16" s="3"/>
      <c r="T16" s="3"/>
      <c r="U16" s="3"/>
      <c r="V16" s="3"/>
      <c r="W16" s="3"/>
      <c r="X16" s="3"/>
      <c r="Y16" s="3"/>
      <c r="Z16" s="3"/>
    </row>
    <row r="17" spans="1:26" ht="12" customHeight="1" x14ac:dyDescent="0.3">
      <c r="A17" s="4"/>
      <c r="B17" s="3"/>
      <c r="C17" s="295"/>
      <c r="D17" s="197"/>
      <c r="E17" s="197"/>
      <c r="F17" s="197"/>
      <c r="G17" s="197"/>
      <c r="H17" s="197"/>
      <c r="I17" s="197"/>
      <c r="J17" s="197"/>
      <c r="K17" s="197"/>
      <c r="L17" s="197"/>
      <c r="M17" s="197"/>
      <c r="N17" s="197"/>
      <c r="O17" s="197"/>
      <c r="P17" s="198"/>
      <c r="Q17" s="3"/>
      <c r="R17" s="4"/>
      <c r="S17" s="3"/>
      <c r="T17" s="3"/>
      <c r="U17" s="3"/>
      <c r="V17" s="3"/>
      <c r="W17" s="3"/>
      <c r="X17" s="3"/>
      <c r="Y17" s="3"/>
      <c r="Z17" s="3"/>
    </row>
    <row r="18" spans="1:26" ht="31.5" customHeight="1" x14ac:dyDescent="0.3">
      <c r="A18" s="4"/>
      <c r="B18" s="3"/>
      <c r="C18" s="293" t="s">
        <v>13</v>
      </c>
      <c r="D18" s="197"/>
      <c r="E18" s="198"/>
      <c r="F18" s="29"/>
      <c r="G18" s="289" t="s">
        <v>134</v>
      </c>
      <c r="H18" s="215"/>
      <c r="I18" s="215"/>
      <c r="J18" s="215"/>
      <c r="K18" s="290"/>
      <c r="L18" s="29"/>
      <c r="M18" s="303" t="s">
        <v>135</v>
      </c>
      <c r="N18" s="304"/>
      <c r="O18" s="305"/>
      <c r="P18" s="92" t="s">
        <v>136</v>
      </c>
      <c r="Q18" s="3"/>
      <c r="R18" s="4"/>
      <c r="S18" s="3"/>
      <c r="T18" s="3"/>
      <c r="U18" s="3"/>
      <c r="V18" s="3"/>
      <c r="W18" s="3"/>
      <c r="X18" s="3"/>
      <c r="Y18" s="3"/>
      <c r="Z18" s="3"/>
    </row>
    <row r="19" spans="1:26" ht="57" customHeight="1" x14ac:dyDescent="0.3">
      <c r="A19" s="4"/>
      <c r="B19" s="3"/>
      <c r="C19" s="291" t="s">
        <v>15</v>
      </c>
      <c r="D19" s="197"/>
      <c r="E19" s="198"/>
      <c r="F19" s="39"/>
      <c r="G19" s="263" t="s">
        <v>260</v>
      </c>
      <c r="H19" s="227"/>
      <c r="I19" s="227"/>
      <c r="J19" s="227"/>
      <c r="K19" s="228"/>
      <c r="L19" s="93"/>
      <c r="M19" s="281" t="s">
        <v>140</v>
      </c>
      <c r="N19" s="227"/>
      <c r="O19" s="228"/>
      <c r="P19" s="94">
        <f t="shared" ref="P19:P28" si="0">IF(M19="---","",VLOOKUP(M19,$C$60:$D$63,2,FALSE))</f>
        <v>0.67</v>
      </c>
      <c r="Q19" s="3"/>
      <c r="R19" s="4"/>
      <c r="S19" s="3"/>
      <c r="T19" s="3"/>
      <c r="U19" s="3"/>
      <c r="V19" s="3"/>
      <c r="W19" s="3"/>
      <c r="X19" s="3"/>
      <c r="Y19" s="3"/>
      <c r="Z19" s="3"/>
    </row>
    <row r="20" spans="1:26" ht="62.25" customHeight="1" x14ac:dyDescent="0.3">
      <c r="A20" s="4"/>
      <c r="B20" s="3"/>
      <c r="C20" s="292" t="s">
        <v>16</v>
      </c>
      <c r="D20" s="197"/>
      <c r="E20" s="198"/>
      <c r="F20" s="39"/>
      <c r="G20" s="266" t="s">
        <v>328</v>
      </c>
      <c r="H20" s="227"/>
      <c r="I20" s="227"/>
      <c r="J20" s="227"/>
      <c r="K20" s="228"/>
      <c r="L20" s="93"/>
      <c r="M20" s="281" t="s">
        <v>139</v>
      </c>
      <c r="N20" s="227"/>
      <c r="O20" s="228"/>
      <c r="P20" s="94">
        <f t="shared" si="0"/>
        <v>1</v>
      </c>
      <c r="Q20" s="3"/>
      <c r="R20" s="4"/>
      <c r="S20" s="3"/>
      <c r="T20" s="3"/>
      <c r="U20" s="3"/>
      <c r="V20" s="3"/>
      <c r="W20" s="3"/>
      <c r="X20" s="3"/>
      <c r="Y20" s="3"/>
      <c r="Z20" s="3"/>
    </row>
    <row r="21" spans="1:26" ht="62.25" customHeight="1" x14ac:dyDescent="0.3">
      <c r="A21" s="4"/>
      <c r="B21" s="3"/>
      <c r="C21" s="291" t="s">
        <v>17</v>
      </c>
      <c r="D21" s="197"/>
      <c r="E21" s="198"/>
      <c r="F21" s="39"/>
      <c r="G21" s="252" t="s">
        <v>244</v>
      </c>
      <c r="H21" s="227"/>
      <c r="I21" s="227"/>
      <c r="J21" s="227"/>
      <c r="K21" s="228"/>
      <c r="L21" s="93"/>
      <c r="M21" s="281" t="s">
        <v>140</v>
      </c>
      <c r="N21" s="227"/>
      <c r="O21" s="228"/>
      <c r="P21" s="94">
        <f t="shared" si="0"/>
        <v>0.67</v>
      </c>
      <c r="Q21" s="3"/>
      <c r="R21" s="4"/>
      <c r="S21" s="3"/>
      <c r="T21" s="3"/>
      <c r="U21" s="3"/>
      <c r="V21" s="3"/>
      <c r="W21" s="3"/>
      <c r="X21" s="3"/>
      <c r="Y21" s="3"/>
      <c r="Z21" s="3"/>
    </row>
    <row r="22" spans="1:26" ht="62.25" customHeight="1" x14ac:dyDescent="0.3">
      <c r="A22" s="4"/>
      <c r="B22" s="3"/>
      <c r="C22" s="292" t="s">
        <v>111</v>
      </c>
      <c r="D22" s="197"/>
      <c r="E22" s="198"/>
      <c r="F22" s="39"/>
      <c r="G22" s="263" t="s">
        <v>262</v>
      </c>
      <c r="H22" s="227"/>
      <c r="I22" s="227"/>
      <c r="J22" s="227"/>
      <c r="K22" s="228"/>
      <c r="L22" s="93"/>
      <c r="M22" s="281" t="s">
        <v>141</v>
      </c>
      <c r="N22" s="227"/>
      <c r="O22" s="228"/>
      <c r="P22" s="94">
        <f t="shared" si="0"/>
        <v>0.33</v>
      </c>
      <c r="Q22" s="3"/>
      <c r="R22" s="4"/>
      <c r="S22" s="3"/>
      <c r="T22" s="3"/>
      <c r="U22" s="3"/>
      <c r="V22" s="3"/>
      <c r="W22" s="3"/>
      <c r="X22" s="3"/>
      <c r="Y22" s="3"/>
      <c r="Z22" s="3"/>
    </row>
    <row r="23" spans="1:26" ht="49.5" customHeight="1" x14ac:dyDescent="0.3">
      <c r="A23" s="4"/>
      <c r="B23" s="3"/>
      <c r="C23" s="291" t="s">
        <v>19</v>
      </c>
      <c r="D23" s="197"/>
      <c r="E23" s="198"/>
      <c r="F23" s="39"/>
      <c r="G23" s="282" t="s">
        <v>329</v>
      </c>
      <c r="H23" s="227"/>
      <c r="I23" s="227"/>
      <c r="J23" s="227"/>
      <c r="K23" s="228"/>
      <c r="L23" s="93"/>
      <c r="M23" s="285" t="s">
        <v>141</v>
      </c>
      <c r="N23" s="227"/>
      <c r="O23" s="228"/>
      <c r="P23" s="94">
        <f t="shared" si="0"/>
        <v>0.33</v>
      </c>
      <c r="Q23" s="3"/>
      <c r="R23" s="4"/>
      <c r="S23" s="3"/>
      <c r="T23" s="3"/>
      <c r="U23" s="3"/>
      <c r="V23" s="3"/>
      <c r="W23" s="3"/>
      <c r="X23" s="3"/>
      <c r="Y23" s="3"/>
      <c r="Z23" s="3"/>
    </row>
    <row r="24" spans="1:26" ht="49.5" customHeight="1" x14ac:dyDescent="0.3">
      <c r="A24" s="4"/>
      <c r="B24" s="3"/>
      <c r="C24" s="292" t="s">
        <v>113</v>
      </c>
      <c r="D24" s="197"/>
      <c r="E24" s="198"/>
      <c r="F24" s="39"/>
      <c r="G24" s="263" t="s">
        <v>245</v>
      </c>
      <c r="H24" s="227"/>
      <c r="I24" s="227"/>
      <c r="J24" s="227"/>
      <c r="K24" s="228"/>
      <c r="L24" s="93"/>
      <c r="M24" s="285" t="s">
        <v>139</v>
      </c>
      <c r="N24" s="227"/>
      <c r="O24" s="228"/>
      <c r="P24" s="94">
        <f t="shared" si="0"/>
        <v>1</v>
      </c>
      <c r="Q24" s="3"/>
      <c r="R24" s="4"/>
      <c r="S24" s="3"/>
      <c r="T24" s="3"/>
      <c r="U24" s="3"/>
      <c r="V24" s="3"/>
      <c r="W24" s="3"/>
      <c r="X24" s="3"/>
      <c r="Y24" s="3"/>
      <c r="Z24" s="3"/>
    </row>
    <row r="25" spans="1:26" ht="49.5" customHeight="1" x14ac:dyDescent="0.3">
      <c r="A25" s="4"/>
      <c r="B25" s="3"/>
      <c r="C25" s="291" t="s">
        <v>114</v>
      </c>
      <c r="D25" s="197"/>
      <c r="E25" s="198"/>
      <c r="F25" s="39"/>
      <c r="G25" s="282" t="s">
        <v>268</v>
      </c>
      <c r="H25" s="227"/>
      <c r="I25" s="227"/>
      <c r="J25" s="227"/>
      <c r="K25" s="228"/>
      <c r="L25" s="93"/>
      <c r="M25" s="281" t="s">
        <v>139</v>
      </c>
      <c r="N25" s="227"/>
      <c r="O25" s="228"/>
      <c r="P25" s="94">
        <f t="shared" si="0"/>
        <v>1</v>
      </c>
      <c r="Q25" s="3"/>
      <c r="R25" s="4"/>
      <c r="S25" s="3"/>
      <c r="T25" s="3"/>
      <c r="U25" s="3"/>
      <c r="V25" s="3"/>
      <c r="W25" s="3"/>
      <c r="X25" s="3"/>
      <c r="Y25" s="3"/>
      <c r="Z25" s="3"/>
    </row>
    <row r="26" spans="1:26" ht="49.5" customHeight="1" x14ac:dyDescent="0.3">
      <c r="A26" s="4"/>
      <c r="B26" s="3"/>
      <c r="C26" s="292" t="s">
        <v>115</v>
      </c>
      <c r="D26" s="197"/>
      <c r="E26" s="198"/>
      <c r="F26" s="39"/>
      <c r="G26" s="263" t="s">
        <v>246</v>
      </c>
      <c r="H26" s="227"/>
      <c r="I26" s="227"/>
      <c r="J26" s="227"/>
      <c r="K26" s="228"/>
      <c r="L26" s="93"/>
      <c r="M26" s="285" t="s">
        <v>140</v>
      </c>
      <c r="N26" s="227"/>
      <c r="O26" s="228"/>
      <c r="P26" s="94">
        <f t="shared" si="0"/>
        <v>0.67</v>
      </c>
      <c r="Q26" s="3"/>
      <c r="R26" s="4"/>
      <c r="S26" s="3"/>
      <c r="T26" s="3"/>
      <c r="U26" s="3"/>
      <c r="V26" s="3"/>
      <c r="W26" s="3"/>
      <c r="X26" s="3"/>
      <c r="Y26" s="3"/>
      <c r="Z26" s="3"/>
    </row>
    <row r="27" spans="1:26" ht="49.5" hidden="1" customHeight="1" x14ac:dyDescent="0.3">
      <c r="A27" s="4"/>
      <c r="B27" s="3"/>
      <c r="C27" s="292" t="s">
        <v>116</v>
      </c>
      <c r="D27" s="197"/>
      <c r="E27" s="198"/>
      <c r="F27" s="39"/>
      <c r="G27" s="284" t="e">
        <f t="shared" ref="G27:G28" si="1">#REF!</f>
        <v>#REF!</v>
      </c>
      <c r="H27" s="227"/>
      <c r="I27" s="227"/>
      <c r="J27" s="227"/>
      <c r="K27" s="228"/>
      <c r="L27" s="93"/>
      <c r="M27" s="285" t="e">
        <f t="shared" ref="M27:M28" si="2">#REF!</f>
        <v>#REF!</v>
      </c>
      <c r="N27" s="227"/>
      <c r="O27" s="228"/>
      <c r="P27" s="94" t="e">
        <f t="shared" si="0"/>
        <v>#REF!</v>
      </c>
      <c r="Q27" s="3"/>
      <c r="R27" s="4"/>
      <c r="S27" s="3"/>
      <c r="T27" s="3"/>
      <c r="U27" s="3"/>
      <c r="V27" s="3"/>
      <c r="W27" s="3"/>
      <c r="X27" s="3"/>
      <c r="Y27" s="3"/>
      <c r="Z27" s="3"/>
    </row>
    <row r="28" spans="1:26" ht="49.5" hidden="1" customHeight="1" x14ac:dyDescent="0.3">
      <c r="A28" s="4"/>
      <c r="B28" s="3"/>
      <c r="C28" s="291" t="s">
        <v>117</v>
      </c>
      <c r="D28" s="197"/>
      <c r="E28" s="198"/>
      <c r="F28" s="39"/>
      <c r="G28" s="278" t="e">
        <f t="shared" si="1"/>
        <v>#REF!</v>
      </c>
      <c r="H28" s="227"/>
      <c r="I28" s="227"/>
      <c r="J28" s="227"/>
      <c r="K28" s="228"/>
      <c r="L28" s="93"/>
      <c r="M28" s="285" t="e">
        <f t="shared" si="2"/>
        <v>#REF!</v>
      </c>
      <c r="N28" s="227"/>
      <c r="O28" s="228"/>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298"/>
      <c r="F30" s="200"/>
      <c r="G30" s="200"/>
      <c r="H30" s="200"/>
      <c r="I30" s="200"/>
      <c r="J30" s="200"/>
      <c r="K30" s="201"/>
      <c r="L30" s="97"/>
      <c r="M30" s="97"/>
      <c r="N30" s="97"/>
      <c r="O30" s="97"/>
      <c r="P30" s="97"/>
      <c r="Q30" s="3"/>
      <c r="R30" s="4"/>
      <c r="S30" s="3"/>
      <c r="T30" s="3"/>
      <c r="U30" s="3"/>
      <c r="V30" s="3"/>
      <c r="W30" s="3"/>
      <c r="X30" s="3"/>
      <c r="Y30" s="3"/>
      <c r="Z30" s="3"/>
    </row>
    <row r="31" spans="1:26" ht="12" customHeight="1" x14ac:dyDescent="0.3">
      <c r="A31" s="4"/>
      <c r="B31" s="3"/>
      <c r="C31" s="295"/>
      <c r="D31" s="197"/>
      <c r="E31" s="197"/>
      <c r="F31" s="197"/>
      <c r="G31" s="197"/>
      <c r="H31" s="197"/>
      <c r="I31" s="197"/>
      <c r="J31" s="197"/>
      <c r="K31" s="197"/>
      <c r="L31" s="197"/>
      <c r="M31" s="197"/>
      <c r="N31" s="197"/>
      <c r="O31" s="197"/>
      <c r="P31" s="198"/>
      <c r="Q31" s="3"/>
      <c r="R31" s="4"/>
      <c r="S31" s="3"/>
      <c r="T31" s="3"/>
      <c r="U31" s="3"/>
      <c r="V31" s="3"/>
      <c r="W31" s="3"/>
      <c r="X31" s="3"/>
      <c r="Y31" s="3"/>
      <c r="Z31" s="3"/>
    </row>
    <row r="32" spans="1:26" ht="31.5" customHeight="1" x14ac:dyDescent="0.3">
      <c r="A32" s="4"/>
      <c r="B32" s="3"/>
      <c r="C32" s="293" t="s">
        <v>13</v>
      </c>
      <c r="D32" s="197"/>
      <c r="E32" s="198"/>
      <c r="F32" s="29"/>
      <c r="G32" s="289" t="s">
        <v>137</v>
      </c>
      <c r="H32" s="215"/>
      <c r="I32" s="215"/>
      <c r="J32" s="215"/>
      <c r="K32" s="290"/>
      <c r="L32" s="29"/>
      <c r="M32" s="303" t="s">
        <v>135</v>
      </c>
      <c r="N32" s="304"/>
      <c r="O32" s="305"/>
      <c r="P32" s="92" t="s">
        <v>136</v>
      </c>
      <c r="Q32" s="3"/>
      <c r="R32" s="4"/>
      <c r="S32" s="3"/>
      <c r="T32" s="3"/>
      <c r="U32" s="3"/>
      <c r="V32" s="3"/>
      <c r="W32" s="3"/>
      <c r="X32" s="3"/>
      <c r="Y32" s="3"/>
      <c r="Z32" s="3"/>
    </row>
    <row r="33" spans="1:26" ht="49.5" customHeight="1" x14ac:dyDescent="0.3">
      <c r="A33" s="4"/>
      <c r="B33" s="3"/>
      <c r="C33" s="291" t="s">
        <v>15</v>
      </c>
      <c r="D33" s="197"/>
      <c r="E33" s="198"/>
      <c r="F33" s="39"/>
      <c r="G33" s="252" t="s">
        <v>219</v>
      </c>
      <c r="H33" s="227"/>
      <c r="I33" s="227"/>
      <c r="J33" s="227"/>
      <c r="K33" s="228"/>
      <c r="L33" s="93"/>
      <c r="M33" s="281" t="s">
        <v>140</v>
      </c>
      <c r="N33" s="227"/>
      <c r="O33" s="228"/>
      <c r="P33" s="94">
        <f t="shared" ref="P33:P42" si="3">IF(M33="---","",VLOOKUP(M33,$C$60:$D$63,2,FALSE))</f>
        <v>0.67</v>
      </c>
      <c r="Q33" s="3"/>
      <c r="R33" s="4"/>
      <c r="S33" s="3"/>
      <c r="T33" s="3"/>
      <c r="U33" s="3"/>
      <c r="V33" s="3"/>
      <c r="W33" s="3"/>
      <c r="X33" s="3"/>
      <c r="Y33" s="3"/>
      <c r="Z33" s="3"/>
    </row>
    <row r="34" spans="1:26" ht="49.5" customHeight="1" x14ac:dyDescent="0.3">
      <c r="A34" s="4"/>
      <c r="B34" s="3"/>
      <c r="C34" s="292" t="s">
        <v>16</v>
      </c>
      <c r="D34" s="197"/>
      <c r="E34" s="198"/>
      <c r="F34" s="39"/>
      <c r="G34" s="252" t="s">
        <v>220</v>
      </c>
      <c r="H34" s="227"/>
      <c r="I34" s="227"/>
      <c r="J34" s="227"/>
      <c r="K34" s="228"/>
      <c r="L34" s="93"/>
      <c r="M34" s="281" t="s">
        <v>140</v>
      </c>
      <c r="N34" s="227"/>
      <c r="O34" s="228"/>
      <c r="P34" s="94">
        <f t="shared" si="3"/>
        <v>0.67</v>
      </c>
      <c r="Q34" s="3"/>
      <c r="R34" s="4"/>
      <c r="S34" s="3"/>
      <c r="T34" s="3"/>
      <c r="U34" s="3"/>
      <c r="V34" s="3"/>
      <c r="W34" s="3"/>
      <c r="X34" s="3"/>
      <c r="Y34" s="3"/>
      <c r="Z34" s="3"/>
    </row>
    <row r="35" spans="1:26" ht="49.5" customHeight="1" x14ac:dyDescent="0.3">
      <c r="A35" s="4"/>
      <c r="B35" s="3"/>
      <c r="C35" s="291" t="s">
        <v>17</v>
      </c>
      <c r="D35" s="197"/>
      <c r="E35" s="198"/>
      <c r="F35" s="39"/>
      <c r="G35" s="252" t="s">
        <v>221</v>
      </c>
      <c r="H35" s="227"/>
      <c r="I35" s="227"/>
      <c r="J35" s="227"/>
      <c r="K35" s="228"/>
      <c r="L35" s="93"/>
      <c r="M35" s="281" t="s">
        <v>140</v>
      </c>
      <c r="N35" s="227"/>
      <c r="O35" s="228"/>
      <c r="P35" s="94">
        <f t="shared" si="3"/>
        <v>0.67</v>
      </c>
      <c r="Q35" s="3"/>
      <c r="R35" s="4"/>
      <c r="S35" s="3"/>
      <c r="T35" s="3"/>
      <c r="U35" s="3"/>
      <c r="V35" s="3"/>
      <c r="W35" s="3"/>
      <c r="X35" s="3"/>
      <c r="Y35" s="3"/>
      <c r="Z35" s="3"/>
    </row>
    <row r="36" spans="1:26" ht="49.5" customHeight="1" x14ac:dyDescent="0.3">
      <c r="A36" s="4"/>
      <c r="B36" s="3"/>
      <c r="C36" s="292" t="s">
        <v>111</v>
      </c>
      <c r="D36" s="197"/>
      <c r="E36" s="198"/>
      <c r="F36" s="39"/>
      <c r="G36" s="252" t="s">
        <v>263</v>
      </c>
      <c r="H36" s="227"/>
      <c r="I36" s="227"/>
      <c r="J36" s="227"/>
      <c r="K36" s="228"/>
      <c r="L36" s="93"/>
      <c r="M36" s="281" t="s">
        <v>140</v>
      </c>
      <c r="N36" s="227"/>
      <c r="O36" s="228"/>
      <c r="P36" s="94">
        <f t="shared" si="3"/>
        <v>0.67</v>
      </c>
      <c r="Q36" s="3"/>
      <c r="R36" s="4"/>
      <c r="S36" s="3"/>
      <c r="T36" s="3"/>
      <c r="U36" s="3"/>
      <c r="V36" s="3"/>
      <c r="W36" s="3"/>
      <c r="X36" s="3"/>
      <c r="Y36" s="3"/>
      <c r="Z36" s="3"/>
    </row>
    <row r="37" spans="1:26" ht="49.5" customHeight="1" x14ac:dyDescent="0.3">
      <c r="A37" s="4"/>
      <c r="B37" s="3"/>
      <c r="C37" s="291" t="s">
        <v>19</v>
      </c>
      <c r="D37" s="197"/>
      <c r="E37" s="198"/>
      <c r="F37" s="39"/>
      <c r="G37" s="232" t="s">
        <v>222</v>
      </c>
      <c r="H37" s="227"/>
      <c r="I37" s="227"/>
      <c r="J37" s="227"/>
      <c r="K37" s="228"/>
      <c r="L37" s="93"/>
      <c r="M37" s="281" t="s">
        <v>140</v>
      </c>
      <c r="N37" s="227"/>
      <c r="O37" s="228"/>
      <c r="P37" s="94">
        <f t="shared" si="3"/>
        <v>0.67</v>
      </c>
      <c r="Q37" s="3"/>
      <c r="R37" s="4"/>
      <c r="S37" s="3"/>
      <c r="T37" s="3"/>
      <c r="U37" s="3"/>
      <c r="V37" s="3"/>
      <c r="W37" s="3"/>
      <c r="X37" s="3"/>
      <c r="Y37" s="3"/>
      <c r="Z37" s="3"/>
    </row>
    <row r="38" spans="1:26" ht="49.5" customHeight="1" x14ac:dyDescent="0.3">
      <c r="A38" s="4"/>
      <c r="B38" s="3"/>
      <c r="C38" s="292" t="s">
        <v>113</v>
      </c>
      <c r="D38" s="197"/>
      <c r="E38" s="198"/>
      <c r="F38" s="39"/>
      <c r="G38" s="263" t="s">
        <v>223</v>
      </c>
      <c r="H38" s="227"/>
      <c r="I38" s="227"/>
      <c r="J38" s="227"/>
      <c r="K38" s="228"/>
      <c r="L38" s="93"/>
      <c r="M38" s="285" t="s">
        <v>141</v>
      </c>
      <c r="N38" s="227"/>
      <c r="O38" s="228"/>
      <c r="P38" s="94">
        <f t="shared" si="3"/>
        <v>0.33</v>
      </c>
      <c r="Q38" s="3"/>
      <c r="R38" s="4"/>
      <c r="S38" s="3"/>
      <c r="T38" s="3"/>
      <c r="U38" s="3"/>
      <c r="V38" s="3"/>
      <c r="W38" s="3"/>
      <c r="X38" s="3"/>
      <c r="Y38" s="3"/>
      <c r="Z38" s="3"/>
    </row>
    <row r="39" spans="1:26" ht="49.5" customHeight="1" x14ac:dyDescent="0.3">
      <c r="A39" s="4"/>
      <c r="B39" s="3"/>
      <c r="C39" s="291" t="s">
        <v>114</v>
      </c>
      <c r="D39" s="197"/>
      <c r="E39" s="198"/>
      <c r="F39" s="39"/>
      <c r="G39" s="232" t="s">
        <v>264</v>
      </c>
      <c r="H39" s="227"/>
      <c r="I39" s="227"/>
      <c r="J39" s="227"/>
      <c r="K39" s="228"/>
      <c r="L39" s="93"/>
      <c r="M39" s="281" t="s">
        <v>139</v>
      </c>
      <c r="N39" s="227"/>
      <c r="O39" s="228"/>
      <c r="P39" s="94">
        <f t="shared" si="3"/>
        <v>1</v>
      </c>
      <c r="Q39" s="3"/>
      <c r="R39" s="4"/>
      <c r="S39" s="3"/>
      <c r="T39" s="3"/>
      <c r="U39" s="3"/>
      <c r="V39" s="3"/>
      <c r="W39" s="3"/>
      <c r="X39" s="3"/>
      <c r="Y39" s="3"/>
      <c r="Z39" s="3"/>
    </row>
    <row r="40" spans="1:26" ht="49.5" customHeight="1" x14ac:dyDescent="0.3">
      <c r="A40" s="4"/>
      <c r="B40" s="3"/>
      <c r="C40" s="292" t="s">
        <v>115</v>
      </c>
      <c r="D40" s="197"/>
      <c r="E40" s="198"/>
      <c r="F40" s="39"/>
      <c r="G40" s="252" t="s">
        <v>246</v>
      </c>
      <c r="H40" s="227"/>
      <c r="I40" s="227"/>
      <c r="J40" s="227"/>
      <c r="K40" s="228"/>
      <c r="L40" s="93"/>
      <c r="M40" s="281" t="s">
        <v>141</v>
      </c>
      <c r="N40" s="227"/>
      <c r="O40" s="228"/>
      <c r="P40" s="94">
        <f t="shared" si="3"/>
        <v>0.33</v>
      </c>
      <c r="Q40" s="3"/>
      <c r="R40" s="4"/>
      <c r="S40" s="3"/>
      <c r="T40" s="3"/>
      <c r="U40" s="3"/>
      <c r="V40" s="3"/>
      <c r="W40" s="3"/>
      <c r="X40" s="3"/>
      <c r="Y40" s="3"/>
      <c r="Z40" s="3"/>
    </row>
    <row r="41" spans="1:26" ht="49.5" hidden="1" customHeight="1" x14ac:dyDescent="0.3">
      <c r="A41" s="4"/>
      <c r="B41" s="3"/>
      <c r="C41" s="292" t="s">
        <v>116</v>
      </c>
      <c r="D41" s="197"/>
      <c r="E41" s="198"/>
      <c r="F41" s="39"/>
      <c r="G41" s="284" t="e">
        <f t="shared" ref="G41:G42" si="4">G27</f>
        <v>#REF!</v>
      </c>
      <c r="H41" s="227"/>
      <c r="I41" s="227"/>
      <c r="J41" s="227"/>
      <c r="K41" s="228"/>
      <c r="L41" s="93"/>
      <c r="M41" s="285" t="e">
        <f>#REF!</f>
        <v>#REF!</v>
      </c>
      <c r="N41" s="227"/>
      <c r="O41" s="228"/>
      <c r="P41" s="94" t="e">
        <f t="shared" si="3"/>
        <v>#REF!</v>
      </c>
      <c r="Q41" s="3"/>
      <c r="R41" s="4"/>
      <c r="S41" s="3"/>
      <c r="T41" s="3"/>
      <c r="U41" s="3"/>
      <c r="V41" s="3"/>
      <c r="W41" s="3"/>
      <c r="X41" s="3"/>
      <c r="Y41" s="3"/>
      <c r="Z41" s="3"/>
    </row>
    <row r="42" spans="1:26" ht="49.5" hidden="1" customHeight="1" x14ac:dyDescent="0.3">
      <c r="A42" s="4"/>
      <c r="B42" s="3"/>
      <c r="C42" s="291" t="s">
        <v>117</v>
      </c>
      <c r="D42" s="197"/>
      <c r="E42" s="198"/>
      <c r="F42" s="39"/>
      <c r="G42" s="278" t="e">
        <f t="shared" si="4"/>
        <v>#REF!</v>
      </c>
      <c r="H42" s="227"/>
      <c r="I42" s="227"/>
      <c r="J42" s="227"/>
      <c r="K42" s="228"/>
      <c r="L42" s="93"/>
      <c r="M42" s="285" t="e">
        <f>M28</f>
        <v>#REF!</v>
      </c>
      <c r="N42" s="227"/>
      <c r="O42" s="228"/>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297"/>
      <c r="F44" s="200"/>
      <c r="G44" s="200"/>
      <c r="H44" s="200"/>
      <c r="I44" s="200"/>
      <c r="J44" s="200"/>
      <c r="K44" s="201"/>
      <c r="L44" s="100"/>
      <c r="M44" s="100"/>
      <c r="N44" s="100"/>
      <c r="O44" s="100"/>
      <c r="P44" s="100"/>
      <c r="Q44" s="3"/>
      <c r="R44" s="4"/>
      <c r="S44" s="3"/>
      <c r="T44" s="3"/>
      <c r="U44" s="3"/>
      <c r="V44" s="3"/>
      <c r="W44" s="3"/>
      <c r="X44" s="3"/>
      <c r="Y44" s="3"/>
      <c r="Z44" s="3"/>
    </row>
    <row r="45" spans="1:26" ht="12" customHeight="1" x14ac:dyDescent="0.3">
      <c r="A45" s="4"/>
      <c r="B45" s="3"/>
      <c r="C45" s="295"/>
      <c r="D45" s="197"/>
      <c r="E45" s="197"/>
      <c r="F45" s="197"/>
      <c r="G45" s="197"/>
      <c r="H45" s="197"/>
      <c r="I45" s="197"/>
      <c r="J45" s="197"/>
      <c r="K45" s="197"/>
      <c r="L45" s="197"/>
      <c r="M45" s="197"/>
      <c r="N45" s="197"/>
      <c r="O45" s="197"/>
      <c r="P45" s="198"/>
      <c r="Q45" s="3"/>
      <c r="R45" s="4"/>
      <c r="S45" s="3"/>
      <c r="T45" s="3"/>
      <c r="U45" s="3"/>
      <c r="V45" s="3"/>
      <c r="W45" s="3"/>
      <c r="X45" s="3"/>
      <c r="Y45" s="3"/>
      <c r="Z45" s="3"/>
    </row>
    <row r="46" spans="1:26" ht="31.5" customHeight="1" x14ac:dyDescent="0.3">
      <c r="A46" s="4"/>
      <c r="B46" s="3"/>
      <c r="C46" s="293" t="s">
        <v>13</v>
      </c>
      <c r="D46" s="197"/>
      <c r="E46" s="198"/>
      <c r="F46" s="29"/>
      <c r="G46" s="289" t="s">
        <v>138</v>
      </c>
      <c r="H46" s="215"/>
      <c r="I46" s="215"/>
      <c r="J46" s="215"/>
      <c r="K46" s="290"/>
      <c r="L46" s="29"/>
      <c r="M46" s="303" t="s">
        <v>135</v>
      </c>
      <c r="N46" s="304"/>
      <c r="O46" s="305"/>
      <c r="P46" s="92" t="s">
        <v>136</v>
      </c>
      <c r="Q46" s="3"/>
      <c r="R46" s="4"/>
      <c r="S46" s="3"/>
      <c r="T46" s="3"/>
      <c r="U46" s="3"/>
      <c r="V46" s="3"/>
      <c r="W46" s="3"/>
      <c r="X46" s="3"/>
      <c r="Y46" s="3"/>
      <c r="Z46" s="3"/>
    </row>
    <row r="47" spans="1:26" ht="49.5" customHeight="1" x14ac:dyDescent="0.3">
      <c r="A47" s="4"/>
      <c r="B47" s="3"/>
      <c r="C47" s="291" t="s">
        <v>15</v>
      </c>
      <c r="D47" s="197"/>
      <c r="E47" s="198"/>
      <c r="F47" s="39"/>
      <c r="G47" s="266" t="s">
        <v>247</v>
      </c>
      <c r="H47" s="227"/>
      <c r="I47" s="227"/>
      <c r="J47" s="227"/>
      <c r="K47" s="228"/>
      <c r="L47" s="93"/>
      <c r="M47" s="281" t="s">
        <v>140</v>
      </c>
      <c r="N47" s="227"/>
      <c r="O47" s="228"/>
      <c r="P47" s="94">
        <f t="shared" ref="P47:P56" si="5">IF(M47="---","",VLOOKUP(M47,$C$60:$D$63,2,FALSE))</f>
        <v>0.67</v>
      </c>
      <c r="Q47" s="3"/>
      <c r="R47" s="4"/>
      <c r="S47" s="3"/>
      <c r="T47" s="3"/>
      <c r="U47" s="3"/>
      <c r="V47" s="3"/>
      <c r="W47" s="3"/>
      <c r="X47" s="3"/>
      <c r="Y47" s="3"/>
      <c r="Z47" s="3"/>
    </row>
    <row r="48" spans="1:26" ht="49.5" customHeight="1" x14ac:dyDescent="0.3">
      <c r="A48" s="4"/>
      <c r="B48" s="3"/>
      <c r="C48" s="292" t="s">
        <v>16</v>
      </c>
      <c r="D48" s="197"/>
      <c r="E48" s="198"/>
      <c r="F48" s="39"/>
      <c r="G48" s="252" t="s">
        <v>248</v>
      </c>
      <c r="H48" s="227"/>
      <c r="I48" s="227"/>
      <c r="J48" s="227"/>
      <c r="K48" s="228"/>
      <c r="L48" s="93"/>
      <c r="M48" s="281" t="s">
        <v>140</v>
      </c>
      <c r="N48" s="227"/>
      <c r="O48" s="228"/>
      <c r="P48" s="94">
        <f t="shared" si="5"/>
        <v>0.67</v>
      </c>
      <c r="Q48" s="3"/>
      <c r="R48" s="4"/>
      <c r="S48" s="3"/>
      <c r="T48" s="3"/>
      <c r="U48" s="3"/>
      <c r="V48" s="3"/>
      <c r="W48" s="3"/>
      <c r="X48" s="3"/>
      <c r="Y48" s="3"/>
      <c r="Z48" s="3"/>
    </row>
    <row r="49" spans="1:26" ht="49.5" customHeight="1" x14ac:dyDescent="0.3">
      <c r="A49" s="4"/>
      <c r="B49" s="3"/>
      <c r="C49" s="291" t="s">
        <v>17</v>
      </c>
      <c r="D49" s="197"/>
      <c r="E49" s="198"/>
      <c r="F49" s="39"/>
      <c r="G49" s="252" t="s">
        <v>265</v>
      </c>
      <c r="H49" s="227"/>
      <c r="I49" s="227"/>
      <c r="J49" s="227"/>
      <c r="K49" s="228"/>
      <c r="L49" s="93"/>
      <c r="M49" s="281" t="s">
        <v>140</v>
      </c>
      <c r="N49" s="227"/>
      <c r="O49" s="228"/>
      <c r="P49" s="94">
        <f t="shared" si="5"/>
        <v>0.67</v>
      </c>
      <c r="Q49" s="3"/>
      <c r="R49" s="4"/>
      <c r="S49" s="3"/>
      <c r="T49" s="3"/>
      <c r="U49" s="3"/>
      <c r="V49" s="3"/>
      <c r="W49" s="3"/>
      <c r="X49" s="3"/>
      <c r="Y49" s="3"/>
      <c r="Z49" s="3"/>
    </row>
    <row r="50" spans="1:26" ht="49.5" customHeight="1" x14ac:dyDescent="0.3">
      <c r="A50" s="4"/>
      <c r="B50" s="3"/>
      <c r="C50" s="292" t="s">
        <v>111</v>
      </c>
      <c r="D50" s="197"/>
      <c r="E50" s="198"/>
      <c r="F50" s="39"/>
      <c r="G50" s="263" t="s">
        <v>224</v>
      </c>
      <c r="H50" s="227"/>
      <c r="I50" s="227"/>
      <c r="J50" s="227"/>
      <c r="K50" s="228"/>
      <c r="L50" s="93"/>
      <c r="M50" s="285" t="s">
        <v>141</v>
      </c>
      <c r="N50" s="227"/>
      <c r="O50" s="228"/>
      <c r="P50" s="94">
        <f t="shared" si="5"/>
        <v>0.33</v>
      </c>
      <c r="Q50" s="3"/>
      <c r="R50" s="4"/>
      <c r="S50" s="3"/>
      <c r="T50" s="3"/>
      <c r="U50" s="3"/>
      <c r="V50" s="3"/>
      <c r="W50" s="3"/>
      <c r="X50" s="3"/>
      <c r="Y50" s="3"/>
      <c r="Z50" s="3"/>
    </row>
    <row r="51" spans="1:26" ht="49.5" customHeight="1" x14ac:dyDescent="0.3">
      <c r="A51" s="4"/>
      <c r="B51" s="3"/>
      <c r="C51" s="291" t="s">
        <v>19</v>
      </c>
      <c r="D51" s="197"/>
      <c r="E51" s="198"/>
      <c r="F51" s="39"/>
      <c r="G51" s="279" t="s">
        <v>330</v>
      </c>
      <c r="H51" s="227"/>
      <c r="I51" s="227"/>
      <c r="J51" s="227"/>
      <c r="K51" s="228"/>
      <c r="L51" s="93"/>
      <c r="M51" s="280" t="s">
        <v>141</v>
      </c>
      <c r="N51" s="227"/>
      <c r="O51" s="228"/>
      <c r="P51" s="94">
        <f t="shared" si="5"/>
        <v>0.33</v>
      </c>
      <c r="Q51" s="3"/>
      <c r="R51" s="4"/>
      <c r="S51" s="3"/>
      <c r="T51" s="3"/>
      <c r="U51" s="3"/>
      <c r="V51" s="3"/>
      <c r="W51" s="3"/>
      <c r="X51" s="3"/>
      <c r="Y51" s="3"/>
      <c r="Z51" s="3"/>
    </row>
    <row r="52" spans="1:26" ht="49.5" customHeight="1" x14ac:dyDescent="0.3">
      <c r="A52" s="4"/>
      <c r="B52" s="3"/>
      <c r="C52" s="292" t="s">
        <v>113</v>
      </c>
      <c r="D52" s="197"/>
      <c r="E52" s="198"/>
      <c r="F52" s="39"/>
      <c r="G52" s="263" t="s">
        <v>331</v>
      </c>
      <c r="H52" s="227"/>
      <c r="I52" s="227"/>
      <c r="J52" s="227"/>
      <c r="K52" s="228"/>
      <c r="L52" s="93"/>
      <c r="M52" s="285" t="s">
        <v>139</v>
      </c>
      <c r="N52" s="227"/>
      <c r="O52" s="228"/>
      <c r="P52" s="94">
        <f t="shared" si="5"/>
        <v>1</v>
      </c>
      <c r="Q52" s="3"/>
      <c r="R52" s="4"/>
      <c r="S52" s="3"/>
      <c r="T52" s="3"/>
      <c r="U52" s="3"/>
      <c r="V52" s="3"/>
      <c r="W52" s="3"/>
      <c r="X52" s="3"/>
      <c r="Y52" s="3"/>
      <c r="Z52" s="3"/>
    </row>
    <row r="53" spans="1:26" ht="49.5" customHeight="1" x14ac:dyDescent="0.3">
      <c r="A53" s="4"/>
      <c r="B53" s="3"/>
      <c r="C53" s="291" t="s">
        <v>114</v>
      </c>
      <c r="D53" s="197"/>
      <c r="E53" s="198"/>
      <c r="F53" s="39"/>
      <c r="G53" s="279" t="s">
        <v>266</v>
      </c>
      <c r="H53" s="227"/>
      <c r="I53" s="227"/>
      <c r="J53" s="227"/>
      <c r="K53" s="228"/>
      <c r="L53" s="93"/>
      <c r="M53" s="280" t="s">
        <v>139</v>
      </c>
      <c r="N53" s="227"/>
      <c r="O53" s="228"/>
      <c r="P53" s="94">
        <f t="shared" si="5"/>
        <v>1</v>
      </c>
      <c r="Q53" s="3"/>
      <c r="R53" s="4"/>
      <c r="S53" s="3"/>
      <c r="T53" s="3"/>
      <c r="U53" s="3"/>
      <c r="V53" s="3"/>
      <c r="W53" s="3"/>
      <c r="X53" s="3"/>
      <c r="Y53" s="3"/>
      <c r="Z53" s="3"/>
    </row>
    <row r="54" spans="1:26" ht="49.5" customHeight="1" x14ac:dyDescent="0.3">
      <c r="A54" s="4"/>
      <c r="B54" s="3"/>
      <c r="C54" s="292" t="s">
        <v>115</v>
      </c>
      <c r="D54" s="197"/>
      <c r="E54" s="198"/>
      <c r="F54" s="39"/>
      <c r="G54" s="263" t="s">
        <v>267</v>
      </c>
      <c r="H54" s="227"/>
      <c r="I54" s="227"/>
      <c r="J54" s="227"/>
      <c r="K54" s="228"/>
      <c r="L54" s="93"/>
      <c r="M54" s="285" t="s">
        <v>140</v>
      </c>
      <c r="N54" s="227"/>
      <c r="O54" s="228"/>
      <c r="P54" s="94">
        <f t="shared" si="5"/>
        <v>0.67</v>
      </c>
      <c r="Q54" s="3"/>
      <c r="R54" s="4"/>
      <c r="S54" s="3"/>
      <c r="T54" s="3"/>
      <c r="U54" s="3"/>
      <c r="V54" s="3"/>
      <c r="W54" s="3"/>
      <c r="X54" s="3"/>
      <c r="Y54" s="3"/>
      <c r="Z54" s="3"/>
    </row>
    <row r="55" spans="1:26" ht="49.5" hidden="1" customHeight="1" x14ac:dyDescent="0.3">
      <c r="A55" s="4"/>
      <c r="B55" s="3"/>
      <c r="C55" s="292" t="s">
        <v>116</v>
      </c>
      <c r="D55" s="197"/>
      <c r="E55" s="198"/>
      <c r="F55" s="39"/>
      <c r="G55" s="284" t="e">
        <f t="shared" ref="G55:G56" si="6">G41</f>
        <v>#REF!</v>
      </c>
      <c r="H55" s="227"/>
      <c r="I55" s="227"/>
      <c r="J55" s="227"/>
      <c r="K55" s="228"/>
      <c r="L55" s="93"/>
      <c r="M55" s="283" t="e">
        <f t="shared" ref="M55:M56" si="7">M41</f>
        <v>#REF!</v>
      </c>
      <c r="N55" s="227"/>
      <c r="O55" s="228"/>
      <c r="P55" s="94" t="e">
        <f t="shared" si="5"/>
        <v>#REF!</v>
      </c>
      <c r="Q55" s="3"/>
      <c r="R55" s="4"/>
      <c r="S55" s="3"/>
      <c r="T55" s="3"/>
      <c r="U55" s="3"/>
      <c r="V55" s="3"/>
      <c r="W55" s="3"/>
      <c r="X55" s="3"/>
      <c r="Y55" s="3"/>
      <c r="Z55" s="3"/>
    </row>
    <row r="56" spans="1:26" ht="49.5" hidden="1" customHeight="1" x14ac:dyDescent="0.3">
      <c r="A56" s="4"/>
      <c r="B56" s="3"/>
      <c r="C56" s="291" t="s">
        <v>117</v>
      </c>
      <c r="D56" s="197"/>
      <c r="E56" s="198"/>
      <c r="F56" s="39"/>
      <c r="G56" s="278" t="e">
        <f t="shared" si="6"/>
        <v>#REF!</v>
      </c>
      <c r="H56" s="227"/>
      <c r="I56" s="227"/>
      <c r="J56" s="227"/>
      <c r="K56" s="228"/>
      <c r="L56" s="93"/>
      <c r="M56" s="285" t="e">
        <f t="shared" si="7"/>
        <v>#REF!</v>
      </c>
      <c r="N56" s="227"/>
      <c r="O56" s="228"/>
      <c r="P56" s="94" t="e">
        <f t="shared" si="5"/>
        <v>#REF!</v>
      </c>
      <c r="Q56" s="3"/>
      <c r="R56" s="4"/>
      <c r="S56" s="3"/>
      <c r="T56" s="3"/>
      <c r="U56" s="3"/>
      <c r="V56" s="3"/>
      <c r="W56" s="3"/>
      <c r="X56" s="3"/>
      <c r="Y56" s="3"/>
      <c r="Z56" s="3"/>
    </row>
    <row r="57" spans="1:26" ht="12" customHeight="1" x14ac:dyDescent="0.3">
      <c r="A57" s="4"/>
      <c r="B57" s="3"/>
      <c r="C57" s="3"/>
      <c r="D57" s="3"/>
      <c r="E57" s="3"/>
      <c r="F57" s="3"/>
      <c r="G57" s="3"/>
      <c r="H57" s="3"/>
      <c r="I57" s="3"/>
      <c r="J57" s="3"/>
      <c r="K57" s="3"/>
      <c r="L57" s="3"/>
      <c r="M57" s="3"/>
      <c r="N57" s="3"/>
      <c r="O57" s="3"/>
      <c r="P57" s="3"/>
      <c r="Q57" s="3"/>
      <c r="R57" s="4"/>
      <c r="S57" s="3"/>
      <c r="T57" s="3"/>
      <c r="U57" s="3"/>
      <c r="V57" s="3"/>
      <c r="W57" s="3"/>
      <c r="X57" s="3"/>
      <c r="Y57" s="3"/>
      <c r="Z57" s="3"/>
    </row>
    <row r="58" spans="1:26" ht="12" customHeight="1" x14ac:dyDescent="0.3">
      <c r="A58" s="4"/>
      <c r="B58" s="4"/>
      <c r="C58" s="4"/>
      <c r="D58" s="4"/>
      <c r="E58" s="4"/>
      <c r="F58" s="4"/>
      <c r="G58" s="4"/>
      <c r="H58" s="4"/>
      <c r="I58" s="4"/>
      <c r="J58" s="4"/>
      <c r="K58" s="4"/>
      <c r="L58" s="4"/>
      <c r="M58" s="4"/>
      <c r="N58" s="4"/>
      <c r="O58" s="4"/>
      <c r="P58" s="4"/>
      <c r="Q58" s="4"/>
      <c r="R58" s="4"/>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139</v>
      </c>
      <c r="D60" s="102">
        <v>1</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140</v>
      </c>
      <c r="D61" s="102">
        <v>0.67</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t="s">
        <v>141</v>
      </c>
      <c r="D62" s="102">
        <v>0.33</v>
      </c>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t="s">
        <v>142</v>
      </c>
      <c r="D63" s="102">
        <v>0</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103" t="s">
        <v>121</v>
      </c>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4">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G33:K33"/>
    <mergeCell ref="M33:O33"/>
    <mergeCell ref="G54:K54"/>
    <mergeCell ref="G55:K55"/>
    <mergeCell ref="C52:E52"/>
    <mergeCell ref="C53:E53"/>
    <mergeCell ref="G53:K53"/>
    <mergeCell ref="M53:O53"/>
    <mergeCell ref="C54:E54"/>
    <mergeCell ref="M54:O54"/>
    <mergeCell ref="M55:O55"/>
    <mergeCell ref="C55:E55"/>
    <mergeCell ref="G51:K51"/>
    <mergeCell ref="G52:K52"/>
    <mergeCell ref="C49:E49"/>
    <mergeCell ref="C50:E50"/>
    <mergeCell ref="G50:K50"/>
    <mergeCell ref="M50:O50"/>
    <mergeCell ref="C51:E51"/>
    <mergeCell ref="M51:O51"/>
    <mergeCell ref="M52:O52"/>
    <mergeCell ref="G48:K48"/>
    <mergeCell ref="G49:K49"/>
    <mergeCell ref="C41:E41"/>
    <mergeCell ref="C42:E42"/>
    <mergeCell ref="M34:O34"/>
    <mergeCell ref="M35:O35"/>
    <mergeCell ref="M37:O37"/>
    <mergeCell ref="M38:O38"/>
    <mergeCell ref="M39:O39"/>
    <mergeCell ref="M40:O40"/>
    <mergeCell ref="M41:O41"/>
    <mergeCell ref="M42:O42"/>
    <mergeCell ref="C56:E56"/>
    <mergeCell ref="G56:K56"/>
    <mergeCell ref="M56:O56"/>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s>
  <conditionalFormatting sqref="P19:P28 P33:P42 P47:P56">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6" xr:uid="{00000000-0002-0000-0500-000000000000}">
      <formula1>$C$60:$C$64</formula1>
    </dataValidation>
  </dataValidations>
  <pageMargins left="0.25" right="0.25" top="0.75" bottom="0.75" header="0" footer="0"/>
  <pageSetup paperSize="9" orientation="portrait" r:id="rId1"/>
  <headerFooter>
    <oddFooter>&amp;L000000_x000D_#000000Public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activeCell="G18" sqref="G18:R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202" t="s">
        <v>143</v>
      </c>
      <c r="B1" s="200"/>
      <c r="C1" s="200"/>
      <c r="D1" s="200"/>
      <c r="E1" s="200"/>
      <c r="F1" s="200"/>
      <c r="G1" s="200"/>
      <c r="H1" s="200"/>
      <c r="I1" s="200"/>
      <c r="J1" s="200"/>
      <c r="K1" s="200"/>
      <c r="L1" s="200"/>
      <c r="M1" s="200"/>
      <c r="N1" s="200"/>
      <c r="O1" s="200"/>
      <c r="P1" s="200"/>
      <c r="Q1" s="200"/>
      <c r="R1" s="200"/>
      <c r="S1" s="200"/>
      <c r="T1" s="200"/>
      <c r="U1" s="200"/>
      <c r="V1" s="201"/>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4" t="s">
        <v>2</v>
      </c>
      <c r="B4" s="205"/>
      <c r="C4" s="206"/>
      <c r="D4" s="6"/>
      <c r="E4" s="7"/>
      <c r="F4" s="7"/>
      <c r="G4" s="7"/>
      <c r="H4" s="7"/>
      <c r="I4" s="7"/>
      <c r="J4" s="7"/>
      <c r="K4" s="7"/>
      <c r="L4" s="7"/>
      <c r="M4" s="7"/>
      <c r="N4" s="7"/>
      <c r="O4" s="7"/>
      <c r="P4" s="7"/>
      <c r="Q4" s="7"/>
      <c r="R4" s="7"/>
      <c r="S4" s="7"/>
      <c r="T4" s="7"/>
      <c r="U4" s="7"/>
      <c r="V4" s="7"/>
      <c r="W4" s="3"/>
      <c r="X4" s="3"/>
      <c r="Y4" s="3"/>
      <c r="Z4" s="3"/>
    </row>
    <row r="5" spans="1:26" ht="31.5" customHeight="1" x14ac:dyDescent="0.3">
      <c r="A5" s="207"/>
      <c r="B5" s="208"/>
      <c r="C5" s="209"/>
      <c r="D5" s="6"/>
      <c r="E5" s="301" t="str">
        <f>'1. Résumé'!E6</f>
        <v>FKT 03/18 Avaradrova</v>
      </c>
      <c r="F5" s="200"/>
      <c r="G5" s="200"/>
      <c r="H5" s="200"/>
      <c r="I5" s="201"/>
      <c r="J5" s="7"/>
      <c r="K5" s="261" t="str">
        <f>'1. Résumé'!G8</f>
        <v>Pays : Madagascar</v>
      </c>
      <c r="L5" s="200"/>
      <c r="M5" s="200"/>
      <c r="N5" s="200"/>
      <c r="O5" s="201"/>
      <c r="P5" s="7"/>
      <c r="Q5" s="7"/>
      <c r="R5" s="261" t="str">
        <f>'1. Résumé'!E10</f>
        <v>Société nationale : Croix-Rouge Malagasy</v>
      </c>
      <c r="S5" s="200"/>
      <c r="T5" s="201"/>
      <c r="U5" s="7"/>
      <c r="V5" s="7"/>
      <c r="W5" s="3"/>
      <c r="X5" s="3"/>
      <c r="Y5" s="3"/>
      <c r="Z5" s="3"/>
    </row>
    <row r="6" spans="1:26" ht="9.75" customHeight="1" x14ac:dyDescent="0.3">
      <c r="A6" s="210"/>
      <c r="B6" s="211"/>
      <c r="C6" s="212"/>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5" t="s">
        <v>144</v>
      </c>
      <c r="B8" s="200"/>
      <c r="C8" s="200"/>
      <c r="D8" s="200"/>
      <c r="E8" s="200"/>
      <c r="F8" s="200"/>
      <c r="G8" s="200"/>
      <c r="H8" s="200"/>
      <c r="I8" s="200"/>
      <c r="J8" s="200"/>
      <c r="K8" s="200"/>
      <c r="L8" s="200"/>
      <c r="M8" s="200"/>
      <c r="N8" s="200"/>
      <c r="O8" s="200"/>
      <c r="P8" s="200"/>
      <c r="Q8" s="200"/>
      <c r="R8" s="200"/>
      <c r="S8" s="200"/>
      <c r="T8" s="200"/>
      <c r="U8" s="200"/>
      <c r="V8" s="201"/>
      <c r="W8" s="3"/>
      <c r="X8" s="3"/>
      <c r="Y8" s="3"/>
      <c r="Z8" s="3" t="s">
        <v>9</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13" t="s">
        <v>145</v>
      </c>
      <c r="D10" s="200"/>
      <c r="E10" s="200"/>
      <c r="F10" s="200"/>
      <c r="G10" s="200"/>
      <c r="H10" s="200"/>
      <c r="I10" s="200"/>
      <c r="J10" s="200"/>
      <c r="K10" s="200"/>
      <c r="L10" s="200"/>
      <c r="M10" s="200"/>
      <c r="N10" s="200"/>
      <c r="O10" s="200"/>
      <c r="P10" s="200"/>
      <c r="Q10" s="200"/>
      <c r="R10" s="200"/>
      <c r="S10" s="200"/>
      <c r="T10" s="201"/>
      <c r="U10" s="3"/>
      <c r="V10" s="4"/>
      <c r="W10" s="3"/>
      <c r="X10" s="3"/>
      <c r="Y10" s="3"/>
      <c r="Z10" s="3"/>
    </row>
    <row r="11" spans="1:26" ht="9.75" customHeight="1" x14ac:dyDescent="0.3">
      <c r="A11" s="4"/>
      <c r="B11" s="3"/>
      <c r="C11" s="3" t="s">
        <v>9</v>
      </c>
      <c r="D11" s="3"/>
      <c r="E11" s="3"/>
      <c r="F11" s="3"/>
      <c r="G11" s="3"/>
      <c r="H11" s="3" t="s">
        <v>9</v>
      </c>
      <c r="I11" s="3"/>
      <c r="J11" s="3"/>
      <c r="K11" s="3"/>
      <c r="L11" s="3"/>
      <c r="M11" s="3"/>
      <c r="N11" s="3"/>
      <c r="O11" s="3"/>
      <c r="P11" s="3"/>
      <c r="Q11" s="3"/>
      <c r="R11" s="3"/>
      <c r="S11" s="3"/>
      <c r="T11" s="3"/>
      <c r="U11" s="3"/>
      <c r="V11" s="4"/>
      <c r="W11" s="3"/>
      <c r="X11" s="3"/>
      <c r="Y11" s="3"/>
      <c r="Z11" s="3"/>
    </row>
    <row r="12" spans="1:26" ht="72.75" customHeight="1" x14ac:dyDescent="0.3">
      <c r="A12" s="4"/>
      <c r="B12" s="3"/>
      <c r="C12" s="308" t="s">
        <v>212</v>
      </c>
      <c r="D12" s="309"/>
      <c r="E12" s="309"/>
      <c r="F12" s="309"/>
      <c r="G12" s="309"/>
      <c r="H12" s="309"/>
      <c r="I12" s="309"/>
      <c r="J12" s="309"/>
      <c r="K12" s="309"/>
      <c r="L12" s="309"/>
      <c r="M12" s="309"/>
      <c r="N12" s="309"/>
      <c r="O12" s="309"/>
      <c r="P12" s="309"/>
      <c r="Q12" s="309"/>
      <c r="R12" s="309"/>
      <c r="S12" s="309"/>
      <c r="T12" s="254"/>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10" t="s">
        <v>146</v>
      </c>
      <c r="D14" s="200"/>
      <c r="E14" s="200"/>
      <c r="F14" s="200"/>
      <c r="G14" s="200"/>
      <c r="H14" s="200"/>
      <c r="I14" s="200"/>
      <c r="J14" s="200"/>
      <c r="K14" s="200"/>
      <c r="L14" s="200"/>
      <c r="M14" s="200"/>
      <c r="N14" s="200"/>
      <c r="O14" s="200"/>
      <c r="P14" s="200"/>
      <c r="Q14" s="200"/>
      <c r="R14" s="200"/>
      <c r="S14" s="200"/>
      <c r="T14" s="201"/>
      <c r="U14" s="3"/>
      <c r="V14" s="4"/>
      <c r="W14" s="3"/>
      <c r="X14" s="3"/>
      <c r="Y14" s="3"/>
      <c r="Z14" s="3"/>
    </row>
    <row r="15" spans="1:26" ht="12" customHeight="1" x14ac:dyDescent="0.3">
      <c r="A15" s="4"/>
      <c r="B15" s="3"/>
      <c r="C15" s="213" t="s">
        <v>147</v>
      </c>
      <c r="D15" s="200"/>
      <c r="E15" s="200"/>
      <c r="F15" s="200"/>
      <c r="G15" s="200"/>
      <c r="H15" s="200"/>
      <c r="I15" s="200"/>
      <c r="J15" s="200"/>
      <c r="K15" s="200"/>
      <c r="L15" s="200"/>
      <c r="M15" s="200"/>
      <c r="N15" s="200"/>
      <c r="O15" s="200"/>
      <c r="P15" s="200"/>
      <c r="Q15" s="200"/>
      <c r="R15" s="200"/>
      <c r="S15" s="200"/>
      <c r="T15" s="201"/>
      <c r="U15" s="3"/>
      <c r="V15" s="4"/>
      <c r="W15" s="3"/>
      <c r="X15" s="3"/>
      <c r="Y15" s="3"/>
      <c r="Z15" s="3"/>
    </row>
    <row r="16" spans="1:26" ht="48" customHeight="1" x14ac:dyDescent="0.3">
      <c r="A16" s="4"/>
      <c r="B16" s="3"/>
      <c r="C16" s="292" t="s">
        <v>148</v>
      </c>
      <c r="D16" s="197"/>
      <c r="E16" s="198"/>
      <c r="F16" s="39"/>
      <c r="G16" s="306" t="s">
        <v>249</v>
      </c>
      <c r="H16" s="227"/>
      <c r="I16" s="227"/>
      <c r="J16" s="227"/>
      <c r="K16" s="227"/>
      <c r="L16" s="227"/>
      <c r="M16" s="227"/>
      <c r="N16" s="227"/>
      <c r="O16" s="227"/>
      <c r="P16" s="227"/>
      <c r="Q16" s="227"/>
      <c r="R16" s="307"/>
      <c r="S16" s="105" t="s">
        <v>153</v>
      </c>
      <c r="T16" s="94">
        <f t="shared" ref="T16:T18" si="0">IF(S16="---","",VLOOKUP(S16,$C$22:$D$25,2,FALSE))</f>
        <v>0.33</v>
      </c>
      <c r="U16" s="3"/>
      <c r="V16" s="4"/>
      <c r="W16" s="3"/>
      <c r="X16" s="3"/>
      <c r="Y16" s="3"/>
      <c r="Z16" s="3"/>
    </row>
    <row r="17" spans="1:26" ht="48" customHeight="1" x14ac:dyDescent="0.3">
      <c r="A17" s="4"/>
      <c r="B17" s="3"/>
      <c r="C17" s="106" t="s">
        <v>150</v>
      </c>
      <c r="D17" s="107"/>
      <c r="E17" s="108"/>
      <c r="F17" s="39"/>
      <c r="G17" s="109" t="s">
        <v>250</v>
      </c>
      <c r="H17" s="110"/>
      <c r="I17" s="110"/>
      <c r="J17" s="110"/>
      <c r="K17" s="110"/>
      <c r="L17" s="110"/>
      <c r="M17" s="110"/>
      <c r="N17" s="110"/>
      <c r="O17" s="110"/>
      <c r="P17" s="110"/>
      <c r="Q17" s="110"/>
      <c r="R17" s="110"/>
      <c r="S17" s="111" t="s">
        <v>153</v>
      </c>
      <c r="T17" s="94">
        <f t="shared" si="0"/>
        <v>0.33</v>
      </c>
      <c r="U17" s="3"/>
      <c r="V17" s="4"/>
      <c r="W17" s="3"/>
      <c r="X17" s="3"/>
      <c r="Y17" s="3"/>
      <c r="Z17" s="3"/>
    </row>
    <row r="18" spans="1:26" ht="45" customHeight="1" x14ac:dyDescent="0.3">
      <c r="A18" s="4"/>
      <c r="B18" s="3"/>
      <c r="C18" s="292" t="s">
        <v>152</v>
      </c>
      <c r="D18" s="197"/>
      <c r="E18" s="198"/>
      <c r="F18" s="39"/>
      <c r="G18" s="306" t="s">
        <v>332</v>
      </c>
      <c r="H18" s="227"/>
      <c r="I18" s="227"/>
      <c r="J18" s="227"/>
      <c r="K18" s="227"/>
      <c r="L18" s="227"/>
      <c r="M18" s="227"/>
      <c r="N18" s="227"/>
      <c r="O18" s="227"/>
      <c r="P18" s="227"/>
      <c r="Q18" s="227"/>
      <c r="R18" s="307"/>
      <c r="S18" s="105" t="s">
        <v>151</v>
      </c>
      <c r="T18" s="94">
        <f t="shared" si="0"/>
        <v>0.67</v>
      </c>
      <c r="U18" s="3"/>
      <c r="V18" s="4"/>
      <c r="W18" s="3"/>
      <c r="X18" s="3"/>
      <c r="Y18" s="3"/>
      <c r="Z18" s="3"/>
    </row>
    <row r="19" spans="1:26" ht="17.25" customHeight="1" x14ac:dyDescent="0.3">
      <c r="A19" s="4"/>
      <c r="B19" s="3"/>
      <c r="C19" s="112"/>
      <c r="D19" s="112"/>
      <c r="E19" s="112"/>
      <c r="F19" s="3"/>
      <c r="G19" s="113"/>
      <c r="H19" s="113"/>
      <c r="I19" s="113"/>
      <c r="J19" s="113"/>
      <c r="K19" s="113"/>
      <c r="L19" s="113"/>
      <c r="M19" s="113"/>
      <c r="N19" s="113"/>
      <c r="O19" s="113"/>
      <c r="P19" s="113"/>
      <c r="Q19" s="113"/>
      <c r="R19" s="113"/>
      <c r="S19" s="3"/>
      <c r="T19" s="3"/>
      <c r="U19" s="3"/>
      <c r="V19" s="4"/>
      <c r="W19" s="3"/>
      <c r="X19" s="3"/>
      <c r="Y19" s="3"/>
      <c r="Z19" s="3"/>
    </row>
    <row r="20" spans="1:26" ht="10.5" customHeight="1" x14ac:dyDescent="0.3">
      <c r="A20" s="4"/>
      <c r="B20" s="3"/>
      <c r="C20" s="112"/>
      <c r="D20" s="112"/>
      <c r="E20" s="112"/>
      <c r="F20" s="3"/>
      <c r="G20" s="113"/>
      <c r="H20" s="113"/>
      <c r="I20" s="113"/>
      <c r="J20" s="113"/>
      <c r="K20" s="113"/>
      <c r="L20" s="3"/>
      <c r="M20" s="113"/>
      <c r="N20" s="113"/>
      <c r="O20" s="113"/>
      <c r="P20" s="113"/>
      <c r="Q20" s="113"/>
      <c r="R20" s="113"/>
      <c r="S20" s="3"/>
      <c r="T20" s="3"/>
      <c r="U20" s="3"/>
      <c r="V20" s="4"/>
      <c r="W20" s="3"/>
      <c r="X20" s="3"/>
      <c r="Y20" s="3"/>
      <c r="Z20" s="3"/>
    </row>
    <row r="21" spans="1:26" ht="18" customHeight="1" x14ac:dyDescent="0.3">
      <c r="A21" s="4"/>
      <c r="B21" s="275"/>
      <c r="C21" s="200"/>
      <c r="D21" s="200"/>
      <c r="E21" s="200"/>
      <c r="F21" s="200"/>
      <c r="G21" s="200"/>
      <c r="H21" s="200"/>
      <c r="I21" s="200"/>
      <c r="J21" s="200"/>
      <c r="K21" s="200"/>
      <c r="L21" s="200"/>
      <c r="M21" s="200"/>
      <c r="N21" s="200"/>
      <c r="O21" s="200"/>
      <c r="P21" s="200"/>
      <c r="Q21" s="200"/>
      <c r="R21" s="200"/>
      <c r="S21" s="200"/>
      <c r="T21" s="200"/>
      <c r="U21" s="201"/>
      <c r="V21" s="4"/>
      <c r="W21" s="3"/>
      <c r="X21" s="3"/>
      <c r="Y21" s="3"/>
      <c r="Z21" s="3"/>
    </row>
    <row r="22" spans="1:26" ht="12" customHeight="1" x14ac:dyDescent="0.3">
      <c r="A22" s="3"/>
      <c r="B22" s="3"/>
      <c r="C22" s="3" t="s">
        <v>149</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151</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153</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4"/>
      <c r="D26" s="114"/>
      <c r="E26" s="114"/>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4"/>
      <c r="D27" s="114"/>
      <c r="E27" s="114"/>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topLeftCell="A16" workbookViewId="0">
      <selection activeCell="J48" sqref="J48"/>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80" customWidth="1"/>
    <col min="9" max="9" width="1.69921875" customWidth="1"/>
    <col min="10" max="10" width="14.69921875" style="180"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202" t="s">
        <v>154</v>
      </c>
      <c r="B1" s="200"/>
      <c r="C1" s="200"/>
      <c r="D1" s="200"/>
      <c r="E1" s="200"/>
      <c r="F1" s="200"/>
      <c r="G1" s="200"/>
      <c r="H1" s="200"/>
      <c r="I1" s="200"/>
      <c r="J1" s="200"/>
      <c r="K1" s="200"/>
      <c r="L1" s="200"/>
      <c r="M1" s="200"/>
      <c r="N1" s="200"/>
      <c r="O1" s="200"/>
      <c r="P1" s="200"/>
      <c r="Q1" s="201"/>
      <c r="R1" s="1"/>
      <c r="S1" s="1"/>
      <c r="T1" s="1"/>
      <c r="U1" s="1"/>
      <c r="V1" s="1"/>
      <c r="W1" s="1"/>
      <c r="X1" s="1"/>
      <c r="Y1" s="1"/>
      <c r="Z1" s="1"/>
      <c r="AA1" s="1"/>
      <c r="AB1" s="1"/>
      <c r="AC1" s="1"/>
      <c r="AD1" s="1"/>
      <c r="AE1" s="1"/>
      <c r="AF1" s="1"/>
    </row>
    <row r="2" spans="1:32" ht="9.75" customHeight="1" x14ac:dyDescent="0.4">
      <c r="A2" s="2"/>
      <c r="B2" s="2"/>
      <c r="C2" s="2"/>
      <c r="D2" s="2"/>
      <c r="E2" s="2"/>
      <c r="F2" s="2"/>
      <c r="G2" s="2"/>
      <c r="H2" s="173"/>
      <c r="I2" s="2"/>
      <c r="J2" s="173"/>
      <c r="K2" s="2"/>
      <c r="L2" s="2"/>
      <c r="M2" s="2"/>
      <c r="N2" s="2"/>
      <c r="O2" s="2"/>
      <c r="P2" s="2"/>
      <c r="Q2" s="2"/>
      <c r="R2" s="1"/>
      <c r="S2" s="320"/>
      <c r="T2" s="208"/>
      <c r="U2" s="208"/>
      <c r="V2" s="208"/>
      <c r="W2" s="208"/>
      <c r="X2" s="208"/>
      <c r="Y2" s="208"/>
      <c r="Z2" s="208"/>
      <c r="AA2" s="208"/>
      <c r="AB2" s="208"/>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04" t="s">
        <v>2</v>
      </c>
      <c r="B4" s="205"/>
      <c r="C4" s="206"/>
      <c r="D4" s="6"/>
      <c r="E4" s="7"/>
      <c r="F4" s="7"/>
      <c r="G4" s="7"/>
      <c r="H4" s="174"/>
      <c r="I4" s="7"/>
      <c r="J4" s="174"/>
      <c r="K4" s="7"/>
      <c r="L4" s="7"/>
      <c r="M4" s="7"/>
      <c r="N4" s="7"/>
      <c r="O4" s="7"/>
      <c r="P4" s="7"/>
      <c r="Q4" s="7"/>
      <c r="R4" s="3"/>
      <c r="S4" s="267"/>
      <c r="T4" s="208"/>
      <c r="U4" s="208"/>
      <c r="V4" s="28"/>
      <c r="W4" s="321"/>
      <c r="X4" s="208"/>
      <c r="Y4" s="208"/>
      <c r="Z4" s="208"/>
      <c r="AA4" s="208"/>
      <c r="AB4" s="208"/>
      <c r="AC4" s="3"/>
      <c r="AD4" s="3"/>
      <c r="AE4" s="3"/>
      <c r="AF4" s="3"/>
    </row>
    <row r="5" spans="1:32" ht="31.5" customHeight="1" x14ac:dyDescent="0.3">
      <c r="A5" s="207"/>
      <c r="B5" s="208"/>
      <c r="C5" s="209"/>
      <c r="D5" s="6"/>
      <c r="E5" s="322" t="str">
        <f>'1. Résumé'!E6</f>
        <v>FKT 03/18 Avaradrova</v>
      </c>
      <c r="F5" s="200"/>
      <c r="G5" s="200"/>
      <c r="H5" s="201"/>
      <c r="I5" s="115"/>
      <c r="J5" s="261"/>
      <c r="K5" s="200"/>
      <c r="L5" s="200"/>
      <c r="M5" s="200"/>
      <c r="N5" s="200"/>
      <c r="O5" s="201"/>
      <c r="P5" s="7"/>
      <c r="Q5" s="7"/>
      <c r="R5" s="3"/>
      <c r="S5" s="315"/>
      <c r="T5" s="208"/>
      <c r="U5" s="208"/>
      <c r="V5" s="116"/>
      <c r="W5" s="208"/>
      <c r="X5" s="208"/>
      <c r="Y5" s="208"/>
      <c r="Z5" s="208"/>
      <c r="AA5" s="208"/>
      <c r="AB5" s="208"/>
      <c r="AC5" s="3"/>
      <c r="AD5" s="3"/>
      <c r="AE5" s="3"/>
      <c r="AF5" s="3"/>
    </row>
    <row r="6" spans="1:32" ht="9.75" customHeight="1" x14ac:dyDescent="0.3">
      <c r="A6" s="210"/>
      <c r="B6" s="211"/>
      <c r="C6" s="212"/>
      <c r="D6" s="6"/>
      <c r="E6" s="10"/>
      <c r="F6" s="7"/>
      <c r="G6" s="7"/>
      <c r="H6" s="174"/>
      <c r="I6" s="7"/>
      <c r="J6" s="174"/>
      <c r="K6" s="7"/>
      <c r="L6" s="7"/>
      <c r="M6" s="7"/>
      <c r="N6" s="7"/>
      <c r="O6" s="7"/>
      <c r="P6" s="7"/>
      <c r="Q6" s="7"/>
      <c r="R6" s="3"/>
      <c r="S6" s="208"/>
      <c r="T6" s="208"/>
      <c r="U6" s="208"/>
      <c r="V6" s="116"/>
      <c r="W6" s="316"/>
      <c r="X6" s="208"/>
      <c r="Y6" s="317"/>
      <c r="Z6" s="208"/>
      <c r="AA6" s="208"/>
      <c r="AB6" s="208"/>
      <c r="AC6" s="3"/>
      <c r="AD6" s="3"/>
      <c r="AE6" s="3"/>
      <c r="AF6" s="3"/>
    </row>
    <row r="7" spans="1:32" ht="19.5" customHeight="1" x14ac:dyDescent="0.3">
      <c r="A7" s="3"/>
      <c r="B7" s="3"/>
      <c r="C7" s="3"/>
      <c r="D7" s="3"/>
      <c r="E7" s="3"/>
      <c r="F7" s="3"/>
      <c r="G7" s="3" t="s">
        <v>9</v>
      </c>
      <c r="H7" s="81"/>
      <c r="I7" s="3"/>
      <c r="J7" s="81"/>
      <c r="K7" s="3"/>
      <c r="L7" s="3"/>
      <c r="M7" s="3"/>
      <c r="N7" s="3"/>
      <c r="O7" s="3"/>
      <c r="P7" s="3"/>
      <c r="Q7" s="3"/>
      <c r="R7" s="3"/>
      <c r="S7" s="208"/>
      <c r="T7" s="208"/>
      <c r="U7" s="208"/>
      <c r="V7" s="116"/>
      <c r="W7" s="208"/>
      <c r="X7" s="208"/>
      <c r="Y7" s="81"/>
      <c r="Z7" s="81"/>
      <c r="AA7" s="81"/>
      <c r="AB7" s="81"/>
      <c r="AC7" s="3"/>
      <c r="AD7" s="3"/>
      <c r="AE7" s="3"/>
      <c r="AF7" s="3"/>
    </row>
    <row r="8" spans="1:32" ht="39.75" customHeight="1" x14ac:dyDescent="0.3">
      <c r="A8" s="275" t="s">
        <v>155</v>
      </c>
      <c r="B8" s="200"/>
      <c r="C8" s="200"/>
      <c r="D8" s="200"/>
      <c r="E8" s="200"/>
      <c r="F8" s="200"/>
      <c r="G8" s="200"/>
      <c r="H8" s="200"/>
      <c r="I8" s="200"/>
      <c r="J8" s="200"/>
      <c r="K8" s="200"/>
      <c r="L8" s="200"/>
      <c r="M8" s="200"/>
      <c r="N8" s="200"/>
      <c r="O8" s="200"/>
      <c r="P8" s="200"/>
      <c r="Q8" s="201"/>
      <c r="R8" s="3"/>
      <c r="S8" s="118"/>
      <c r="T8" s="118"/>
      <c r="U8" s="118"/>
      <c r="V8" s="118"/>
      <c r="W8" s="208"/>
      <c r="X8" s="208"/>
      <c r="Y8" s="102"/>
      <c r="Z8" s="102"/>
      <c r="AA8" s="102"/>
      <c r="AB8" s="102"/>
      <c r="AC8" s="3"/>
      <c r="AD8" s="3"/>
      <c r="AE8" s="3"/>
      <c r="AF8" s="3"/>
    </row>
    <row r="9" spans="1:32" ht="9.75" customHeight="1" x14ac:dyDescent="0.3">
      <c r="A9" s="68"/>
      <c r="B9" s="69"/>
      <c r="C9" s="69"/>
      <c r="D9" s="69"/>
      <c r="E9" s="69"/>
      <c r="F9" s="69"/>
      <c r="G9" s="69"/>
      <c r="H9" s="175"/>
      <c r="I9" s="69"/>
      <c r="J9" s="175"/>
      <c r="K9" s="69"/>
      <c r="L9" s="69"/>
      <c r="M9" s="69"/>
      <c r="N9" s="69"/>
      <c r="O9" s="69"/>
      <c r="P9" s="69"/>
      <c r="Q9" s="68"/>
      <c r="R9" s="3"/>
      <c r="S9" s="102"/>
      <c r="T9" s="317"/>
      <c r="U9" s="318"/>
      <c r="V9" s="119"/>
      <c r="W9" s="319"/>
      <c r="X9" s="102"/>
      <c r="Y9" s="102"/>
      <c r="Z9" s="102"/>
      <c r="AA9" s="102"/>
      <c r="AB9" s="102"/>
      <c r="AC9" s="3"/>
      <c r="AD9" s="3"/>
      <c r="AE9" s="3"/>
      <c r="AF9" s="3"/>
    </row>
    <row r="10" spans="1:32" ht="36" customHeight="1" x14ac:dyDescent="0.3">
      <c r="A10" s="68"/>
      <c r="B10" s="69"/>
      <c r="C10" s="302" t="s">
        <v>156</v>
      </c>
      <c r="D10" s="200"/>
      <c r="E10" s="200"/>
      <c r="F10" s="200"/>
      <c r="G10" s="200"/>
      <c r="H10" s="200"/>
      <c r="I10" s="200"/>
      <c r="J10" s="200"/>
      <c r="K10" s="200"/>
      <c r="L10" s="200"/>
      <c r="M10" s="200"/>
      <c r="N10" s="200"/>
      <c r="O10" s="201"/>
      <c r="P10" s="69"/>
      <c r="Q10" s="68"/>
      <c r="R10" s="3"/>
      <c r="S10" s="102"/>
      <c r="T10" s="208"/>
      <c r="U10" s="208"/>
      <c r="V10" s="119"/>
      <c r="W10" s="208"/>
      <c r="X10" s="102"/>
      <c r="Y10" s="102"/>
      <c r="Z10" s="102"/>
      <c r="AA10" s="102"/>
      <c r="AB10" s="102"/>
      <c r="AC10" s="3"/>
      <c r="AD10" s="3"/>
      <c r="AE10" s="3"/>
      <c r="AF10" s="3"/>
    </row>
    <row r="11" spans="1:32" ht="9.75" customHeight="1" x14ac:dyDescent="0.3">
      <c r="A11" s="68"/>
      <c r="B11" s="69"/>
      <c r="C11" s="69"/>
      <c r="D11" s="69"/>
      <c r="E11" s="69"/>
      <c r="F11" s="69"/>
      <c r="G11" s="69"/>
      <c r="H11" s="175"/>
      <c r="I11" s="69"/>
      <c r="J11" s="175"/>
      <c r="K11" s="69"/>
      <c r="L11" s="69"/>
      <c r="M11" s="69"/>
      <c r="N11" s="69"/>
      <c r="O11" s="69"/>
      <c r="P11" s="69"/>
      <c r="Q11" s="68"/>
      <c r="R11" s="3"/>
      <c r="S11" s="102"/>
      <c r="T11" s="117"/>
      <c r="U11" s="120"/>
      <c r="V11" s="121"/>
      <c r="W11" s="208"/>
      <c r="X11" s="102"/>
      <c r="Y11" s="102"/>
      <c r="Z11" s="102"/>
      <c r="AA11" s="102"/>
      <c r="AB11" s="102"/>
      <c r="AC11" s="3"/>
      <c r="AD11" s="3"/>
      <c r="AE11" s="3"/>
      <c r="AF11" s="3"/>
    </row>
    <row r="12" spans="1:32" ht="31.5" customHeight="1" x14ac:dyDescent="0.3">
      <c r="A12" s="4"/>
      <c r="B12" s="3"/>
      <c r="C12" s="23" t="str">
        <f>'3. Dangers'!C16</f>
        <v xml:space="preserve">Inondation </v>
      </c>
      <c r="D12" s="23"/>
      <c r="E12" s="300"/>
      <c r="F12" s="200"/>
      <c r="G12" s="200"/>
      <c r="H12" s="201"/>
      <c r="I12" s="90"/>
      <c r="J12" s="181"/>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295"/>
      <c r="D13" s="197"/>
      <c r="E13" s="197"/>
      <c r="F13" s="197"/>
      <c r="G13" s="197"/>
      <c r="H13" s="197"/>
      <c r="I13" s="197"/>
      <c r="J13" s="197"/>
      <c r="K13" s="197"/>
      <c r="L13" s="197"/>
      <c r="M13" s="197"/>
      <c r="N13" s="197"/>
      <c r="O13" s="198"/>
      <c r="P13" s="3"/>
      <c r="Q13" s="4"/>
      <c r="R13" s="3"/>
      <c r="S13" s="122"/>
      <c r="T13" s="122"/>
      <c r="U13" s="122" t="s">
        <v>157</v>
      </c>
      <c r="V13" s="122"/>
      <c r="W13" s="122"/>
      <c r="X13" s="122"/>
      <c r="Y13" s="3"/>
      <c r="Z13" s="3"/>
      <c r="AA13" s="3"/>
      <c r="AB13" s="3"/>
      <c r="AC13" s="3"/>
      <c r="AD13" s="3"/>
      <c r="AE13" s="3"/>
      <c r="AF13" s="3"/>
    </row>
    <row r="14" spans="1:32" ht="31.5" customHeight="1" x14ac:dyDescent="0.3">
      <c r="A14" s="4"/>
      <c r="B14" s="3"/>
      <c r="C14" s="293" t="s">
        <v>13</v>
      </c>
      <c r="D14" s="197"/>
      <c r="E14" s="198"/>
      <c r="F14" s="39"/>
      <c r="G14" s="123"/>
      <c r="H14" s="176" t="s">
        <v>158</v>
      </c>
      <c r="I14" s="29"/>
      <c r="J14" s="176" t="s">
        <v>159</v>
      </c>
      <c r="K14" s="123"/>
      <c r="L14" s="123"/>
      <c r="M14" s="314" t="s">
        <v>160</v>
      </c>
      <c r="N14" s="197"/>
      <c r="O14" s="198"/>
      <c r="P14" s="3"/>
      <c r="Q14" s="4"/>
      <c r="R14" s="3"/>
      <c r="S14" s="122"/>
      <c r="T14" s="122"/>
      <c r="U14" s="122" t="s">
        <v>161</v>
      </c>
      <c r="V14" s="122" t="s">
        <v>162</v>
      </c>
      <c r="W14" s="122" t="s">
        <v>163</v>
      </c>
      <c r="X14" s="122" t="s">
        <v>164</v>
      </c>
      <c r="Y14" s="3"/>
      <c r="Z14" s="3"/>
      <c r="AA14" s="3"/>
      <c r="AB14" s="3"/>
      <c r="AC14" s="3"/>
      <c r="AD14" s="3"/>
      <c r="AE14" s="3"/>
      <c r="AF14" s="3"/>
    </row>
    <row r="15" spans="1:32" ht="19.5" customHeight="1" x14ac:dyDescent="0.3">
      <c r="A15" s="4"/>
      <c r="B15" s="3"/>
      <c r="C15" s="291" t="s">
        <v>15</v>
      </c>
      <c r="D15" s="197"/>
      <c r="E15" s="198"/>
      <c r="F15" s="39"/>
      <c r="G15" s="124"/>
      <c r="H15" s="177">
        <f>'4. Vulnérabilité'!V29</f>
        <v>1</v>
      </c>
      <c r="I15" s="29"/>
      <c r="J15" s="177">
        <f>'5. Capacité'!P19</f>
        <v>0.67</v>
      </c>
      <c r="K15" s="125"/>
      <c r="L15" s="125"/>
      <c r="M15" s="313" t="str">
        <f>IF(AND(H15&lt;&gt;"",J15&lt;&gt;""),IF((H15-J15)&lt;-0.32,"LOW",IF((H15-J15)&lt;0.33,"MODERATE","HIGH")),"")</f>
        <v>HIGH</v>
      </c>
      <c r="N15" s="197"/>
      <c r="O15" s="198"/>
      <c r="P15" s="3"/>
      <c r="Q15" s="4"/>
      <c r="R15" s="3"/>
      <c r="S15" s="122" t="s">
        <v>165</v>
      </c>
      <c r="T15" s="122"/>
      <c r="U15" s="122">
        <v>0</v>
      </c>
      <c r="V15" s="122">
        <v>0.33</v>
      </c>
      <c r="W15" s="122">
        <v>0.67</v>
      </c>
      <c r="X15" s="122">
        <v>1</v>
      </c>
      <c r="Y15" s="3"/>
      <c r="Z15" s="3"/>
      <c r="AA15" s="3"/>
      <c r="AB15" s="3"/>
      <c r="AC15" s="3"/>
      <c r="AD15" s="3"/>
      <c r="AE15" s="3"/>
      <c r="AF15" s="3"/>
    </row>
    <row r="16" spans="1:32" ht="19.5" customHeight="1" x14ac:dyDescent="0.3">
      <c r="A16" s="4"/>
      <c r="B16" s="3"/>
      <c r="C16" s="292" t="s">
        <v>16</v>
      </c>
      <c r="D16" s="197"/>
      <c r="E16" s="198"/>
      <c r="F16" s="39"/>
      <c r="G16" s="124"/>
      <c r="H16" s="178">
        <f>'4. Vulnérabilité'!V30</f>
        <v>1</v>
      </c>
      <c r="I16" s="29"/>
      <c r="J16" s="177">
        <f>'5. Capacité'!P20</f>
        <v>1</v>
      </c>
      <c r="K16" s="125"/>
      <c r="L16" s="125"/>
      <c r="M16" s="326" t="str">
        <f t="shared" ref="M16:M22" si="0">IF(AND(H16&lt;&gt;"",J16&lt;&gt;""),IF((H16-J16)&lt;-0.33,"LOW",IF((H16-J16)&lt;0.32,"MODERATE","HIGH")),"")</f>
        <v>MODERATE</v>
      </c>
      <c r="N16" s="197"/>
      <c r="O16" s="198"/>
      <c r="P16" s="3"/>
      <c r="Q16" s="4"/>
      <c r="R16" s="3"/>
      <c r="S16" s="122" t="s">
        <v>164</v>
      </c>
      <c r="T16" s="122">
        <v>1</v>
      </c>
      <c r="U16" s="122" t="s">
        <v>166</v>
      </c>
      <c r="V16" s="122" t="s">
        <v>166</v>
      </c>
      <c r="W16" s="122" t="s">
        <v>166</v>
      </c>
      <c r="X16" s="122" t="s">
        <v>167</v>
      </c>
      <c r="Y16" s="3"/>
      <c r="Z16" s="3"/>
      <c r="AA16" s="3"/>
      <c r="AB16" s="3"/>
      <c r="AC16" s="3"/>
      <c r="AD16" s="3"/>
      <c r="AE16" s="3"/>
      <c r="AF16" s="3"/>
    </row>
    <row r="17" spans="1:32" ht="19.5" customHeight="1" x14ac:dyDescent="0.3">
      <c r="A17" s="4"/>
      <c r="B17" s="3"/>
      <c r="C17" s="291" t="s">
        <v>17</v>
      </c>
      <c r="D17" s="197"/>
      <c r="E17" s="198"/>
      <c r="F17" s="39"/>
      <c r="G17" s="124"/>
      <c r="H17" s="177">
        <f>'4. Vulnérabilité'!V31</f>
        <v>1</v>
      </c>
      <c r="I17" s="29"/>
      <c r="J17" s="177">
        <f>'5. Capacité'!P21</f>
        <v>0.67</v>
      </c>
      <c r="K17" s="125"/>
      <c r="L17" s="125"/>
      <c r="M17" s="313" t="str">
        <f t="shared" si="0"/>
        <v>HIGH</v>
      </c>
      <c r="N17" s="197"/>
      <c r="O17" s="198"/>
      <c r="P17" s="3"/>
      <c r="Q17" s="4"/>
      <c r="R17" s="3"/>
      <c r="S17" s="122"/>
      <c r="T17" s="122"/>
      <c r="U17" s="122"/>
      <c r="V17" s="122"/>
      <c r="W17" s="122"/>
      <c r="X17" s="122"/>
      <c r="Y17" s="3"/>
      <c r="Z17" s="3"/>
      <c r="AA17" s="3"/>
      <c r="AB17" s="3"/>
      <c r="AC17" s="3"/>
      <c r="AD17" s="3"/>
      <c r="AE17" s="3"/>
      <c r="AF17" s="3"/>
    </row>
    <row r="18" spans="1:32" ht="19.5" customHeight="1" x14ac:dyDescent="0.3">
      <c r="A18" s="4"/>
      <c r="B18" s="3"/>
      <c r="C18" s="292" t="s">
        <v>111</v>
      </c>
      <c r="D18" s="197"/>
      <c r="E18" s="198"/>
      <c r="F18" s="39"/>
      <c r="G18" s="124"/>
      <c r="H18" s="178">
        <f>'4. Vulnérabilité'!V32</f>
        <v>0.67</v>
      </c>
      <c r="I18" s="29"/>
      <c r="J18" s="177">
        <f>'5. Capacité'!P22</f>
        <v>0.33</v>
      </c>
      <c r="K18" s="125"/>
      <c r="L18" s="125"/>
      <c r="M18" s="326" t="str">
        <f t="shared" si="0"/>
        <v>HIGH</v>
      </c>
      <c r="N18" s="197"/>
      <c r="O18" s="198"/>
      <c r="P18" s="3"/>
      <c r="Q18" s="4"/>
      <c r="R18" s="3"/>
      <c r="S18" s="122"/>
      <c r="T18" s="122"/>
      <c r="U18" s="122"/>
      <c r="V18" s="122"/>
      <c r="W18" s="122"/>
      <c r="X18" s="122"/>
      <c r="Y18" s="3"/>
      <c r="Z18" s="3"/>
      <c r="AA18" s="3"/>
      <c r="AB18" s="3"/>
      <c r="AC18" s="3"/>
      <c r="AD18" s="3"/>
      <c r="AE18" s="3"/>
      <c r="AF18" s="3"/>
    </row>
    <row r="19" spans="1:32" ht="19.5" customHeight="1" x14ac:dyDescent="0.3">
      <c r="A19" s="4"/>
      <c r="B19" s="3"/>
      <c r="C19" s="291" t="s">
        <v>19</v>
      </c>
      <c r="D19" s="197"/>
      <c r="E19" s="198"/>
      <c r="F19" s="39"/>
      <c r="G19" s="124"/>
      <c r="H19" s="177">
        <f>'4. Vulnérabilité'!V33</f>
        <v>0.67</v>
      </c>
      <c r="I19" s="29"/>
      <c r="J19" s="177">
        <f>'5. Capacité'!P23</f>
        <v>0.33</v>
      </c>
      <c r="K19" s="125"/>
      <c r="L19" s="125"/>
      <c r="M19" s="313" t="str">
        <f t="shared" si="0"/>
        <v>HIGH</v>
      </c>
      <c r="N19" s="197"/>
      <c r="O19" s="198"/>
      <c r="P19" s="3"/>
      <c r="Q19" s="4"/>
      <c r="R19" s="3"/>
      <c r="S19" s="122"/>
      <c r="T19" s="122"/>
      <c r="U19" s="122"/>
      <c r="V19" s="122"/>
      <c r="W19" s="122"/>
      <c r="X19" s="122"/>
      <c r="Y19" s="3"/>
      <c r="Z19" s="3"/>
      <c r="AA19" s="3"/>
      <c r="AB19" s="3"/>
      <c r="AC19" s="3"/>
      <c r="AD19" s="3"/>
      <c r="AE19" s="3"/>
      <c r="AF19" s="3"/>
    </row>
    <row r="20" spans="1:32" ht="19.5" customHeight="1" x14ac:dyDescent="0.3">
      <c r="A20" s="4"/>
      <c r="B20" s="3"/>
      <c r="C20" s="292" t="s">
        <v>113</v>
      </c>
      <c r="D20" s="197"/>
      <c r="E20" s="198"/>
      <c r="F20" s="39"/>
      <c r="G20" s="124"/>
      <c r="H20" s="178">
        <f>'4. Vulnérabilité'!V34</f>
        <v>0.67</v>
      </c>
      <c r="I20" s="29"/>
      <c r="J20" s="177">
        <f>'5. Capacité'!P24</f>
        <v>1</v>
      </c>
      <c r="K20" s="125"/>
      <c r="L20" s="125"/>
      <c r="M20" s="326" t="str">
        <f t="shared" si="0"/>
        <v>MODERATE</v>
      </c>
      <c r="N20" s="197"/>
      <c r="O20" s="198"/>
      <c r="P20" s="3"/>
      <c r="Q20" s="4"/>
      <c r="R20" s="3"/>
      <c r="S20" s="122" t="s">
        <v>163</v>
      </c>
      <c r="T20" s="122">
        <v>0.67</v>
      </c>
      <c r="U20" s="122" t="s">
        <v>166</v>
      </c>
      <c r="V20" s="122" t="s">
        <v>166</v>
      </c>
      <c r="W20" s="122" t="s">
        <v>167</v>
      </c>
      <c r="X20" s="122" t="s">
        <v>168</v>
      </c>
      <c r="Y20" s="3"/>
      <c r="Z20" s="3"/>
      <c r="AA20" s="3"/>
      <c r="AB20" s="3"/>
      <c r="AC20" s="3"/>
      <c r="AD20" s="3"/>
      <c r="AE20" s="3"/>
      <c r="AF20" s="3"/>
    </row>
    <row r="21" spans="1:32" ht="19.5" customHeight="1" x14ac:dyDescent="0.3">
      <c r="A21" s="4"/>
      <c r="B21" s="3"/>
      <c r="C21" s="291" t="s">
        <v>114</v>
      </c>
      <c r="D21" s="197"/>
      <c r="E21" s="198"/>
      <c r="F21" s="39"/>
      <c r="G21" s="124"/>
      <c r="H21" s="177">
        <f>'4. Vulnérabilité'!V35</f>
        <v>0.67</v>
      </c>
      <c r="I21" s="29"/>
      <c r="J21" s="177">
        <f>'5. Capacité'!P25</f>
        <v>1</v>
      </c>
      <c r="K21" s="125"/>
      <c r="L21" s="125"/>
      <c r="M21" s="313" t="str">
        <f t="shared" si="0"/>
        <v>MODERATE</v>
      </c>
      <c r="N21" s="197"/>
      <c r="O21" s="198"/>
      <c r="P21" s="3"/>
      <c r="Q21" s="4"/>
      <c r="R21" s="3"/>
      <c r="S21" s="122" t="s">
        <v>162</v>
      </c>
      <c r="T21" s="122">
        <v>0.33</v>
      </c>
      <c r="U21" s="122" t="s">
        <v>166</v>
      </c>
      <c r="V21" s="122" t="s">
        <v>167</v>
      </c>
      <c r="W21" s="122" t="s">
        <v>168</v>
      </c>
      <c r="X21" s="122" t="s">
        <v>168</v>
      </c>
      <c r="Y21" s="3"/>
      <c r="Z21" s="3"/>
      <c r="AA21" s="3"/>
      <c r="AB21" s="3"/>
      <c r="AC21" s="3"/>
      <c r="AD21" s="3"/>
      <c r="AE21" s="3"/>
      <c r="AF21" s="3"/>
    </row>
    <row r="22" spans="1:32" ht="19.5" customHeight="1" x14ac:dyDescent="0.3">
      <c r="A22" s="4"/>
      <c r="B22" s="3"/>
      <c r="C22" s="292" t="s">
        <v>115</v>
      </c>
      <c r="D22" s="197"/>
      <c r="E22" s="198"/>
      <c r="F22" s="39"/>
      <c r="G22" s="124"/>
      <c r="H22" s="178">
        <f>'4. Vulnérabilité'!V36</f>
        <v>0.67</v>
      </c>
      <c r="I22" s="29"/>
      <c r="J22" s="177">
        <f>'5. Capacité'!P26</f>
        <v>0.67</v>
      </c>
      <c r="K22" s="125"/>
      <c r="L22" s="125"/>
      <c r="M22" s="326" t="str">
        <f t="shared" si="0"/>
        <v>MODERATE</v>
      </c>
      <c r="N22" s="197"/>
      <c r="O22" s="198"/>
      <c r="P22" s="3"/>
      <c r="Q22" s="4"/>
      <c r="R22" s="3"/>
      <c r="S22" s="122" t="s">
        <v>161</v>
      </c>
      <c r="T22" s="122">
        <v>0</v>
      </c>
      <c r="U22" s="122" t="s">
        <v>167</v>
      </c>
      <c r="V22" s="122" t="s">
        <v>168</v>
      </c>
      <c r="W22" s="122" t="s">
        <v>168</v>
      </c>
      <c r="X22" s="122" t="s">
        <v>168</v>
      </c>
      <c r="Y22" s="3"/>
      <c r="Z22" s="3"/>
      <c r="AA22" s="3"/>
      <c r="AB22" s="3"/>
      <c r="AC22" s="3"/>
      <c r="AD22" s="3"/>
      <c r="AE22" s="3"/>
      <c r="AF22" s="3"/>
    </row>
    <row r="23" spans="1:32" ht="19.5" customHeight="1" x14ac:dyDescent="0.3">
      <c r="A23" s="4"/>
      <c r="B23" s="3"/>
      <c r="C23" s="291" t="s">
        <v>169</v>
      </c>
      <c r="D23" s="197"/>
      <c r="E23" s="198"/>
      <c r="F23" s="39"/>
      <c r="G23" s="124"/>
      <c r="H23" s="126" t="s">
        <v>170</v>
      </c>
      <c r="I23" s="29"/>
      <c r="J23" s="126" t="s">
        <v>170</v>
      </c>
      <c r="K23" s="125"/>
      <c r="L23" s="125"/>
      <c r="M23" s="326" t="str">
        <f>'6. Cohésion, Inclusion, Connect'!S16</f>
        <v>FAIBLE</v>
      </c>
      <c r="N23" s="197"/>
      <c r="O23" s="198"/>
      <c r="P23" s="3"/>
      <c r="Q23" s="4"/>
      <c r="R23" s="3"/>
      <c r="S23" s="3"/>
      <c r="T23" s="3"/>
      <c r="U23" s="3"/>
      <c r="V23" s="3"/>
      <c r="W23" s="3"/>
      <c r="X23" s="3"/>
      <c r="Y23" s="3"/>
      <c r="Z23" s="3"/>
      <c r="AA23" s="3"/>
      <c r="AB23" s="3"/>
      <c r="AC23" s="3"/>
      <c r="AD23" s="3"/>
      <c r="AE23" s="3"/>
      <c r="AF23" s="3"/>
    </row>
    <row r="24" spans="1:32" ht="19.5" customHeight="1" x14ac:dyDescent="0.3">
      <c r="A24" s="4"/>
      <c r="B24" s="3"/>
      <c r="C24" s="127" t="s">
        <v>171</v>
      </c>
      <c r="D24" s="127"/>
      <c r="E24" s="127"/>
      <c r="F24" s="39"/>
      <c r="G24" s="124"/>
      <c r="H24" s="128" t="s">
        <v>170</v>
      </c>
      <c r="I24" s="29"/>
      <c r="J24" s="126"/>
      <c r="K24" s="125"/>
      <c r="L24" s="125"/>
      <c r="M24" s="326" t="str">
        <f>'6. Cohésion, Inclusion, Connect'!S17</f>
        <v>FAIBLE</v>
      </c>
      <c r="N24" s="197"/>
      <c r="O24" s="198"/>
      <c r="P24" s="3"/>
      <c r="Q24" s="4"/>
      <c r="R24" s="3"/>
      <c r="S24" s="3"/>
      <c r="T24" s="3"/>
      <c r="U24" s="3"/>
      <c r="V24" s="3"/>
      <c r="W24" s="3"/>
      <c r="X24" s="3"/>
      <c r="Y24" s="3"/>
      <c r="Z24" s="3"/>
      <c r="AA24" s="3"/>
      <c r="AB24" s="3"/>
      <c r="AC24" s="3"/>
      <c r="AD24" s="3"/>
      <c r="AE24" s="3"/>
      <c r="AF24" s="3"/>
    </row>
    <row r="25" spans="1:32" ht="20.25" customHeight="1" x14ac:dyDescent="0.3">
      <c r="A25" s="4"/>
      <c r="B25" s="3"/>
      <c r="C25" s="291" t="s">
        <v>25</v>
      </c>
      <c r="D25" s="197"/>
      <c r="E25" s="198"/>
      <c r="F25" s="39"/>
      <c r="G25" s="124"/>
      <c r="H25" s="128" t="s">
        <v>170</v>
      </c>
      <c r="I25" s="29"/>
      <c r="J25" s="126" t="s">
        <v>170</v>
      </c>
      <c r="K25" s="125"/>
      <c r="L25" s="125"/>
      <c r="M25" s="326" t="str">
        <f>'6. Cohésion, Inclusion, Connect'!S18</f>
        <v>MOYENNE</v>
      </c>
      <c r="N25" s="197"/>
      <c r="O25" s="198"/>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298"/>
      <c r="F27" s="200"/>
      <c r="G27" s="200"/>
      <c r="H27" s="201"/>
      <c r="I27" s="97"/>
      <c r="J27" s="182"/>
      <c r="K27" s="97"/>
      <c r="L27" s="97"/>
      <c r="M27" s="97"/>
      <c r="N27" s="97"/>
      <c r="O27" s="97"/>
      <c r="P27" s="3"/>
      <c r="Q27" s="4"/>
      <c r="R27" s="3"/>
      <c r="S27" s="122"/>
      <c r="T27" s="122"/>
      <c r="U27" s="122" t="s">
        <v>161</v>
      </c>
      <c r="V27" s="122" t="s">
        <v>162</v>
      </c>
      <c r="W27" s="122" t="s">
        <v>163</v>
      </c>
      <c r="X27" s="122" t="s">
        <v>164</v>
      </c>
      <c r="Y27" s="3"/>
      <c r="Z27" s="3"/>
      <c r="AA27" s="3"/>
      <c r="AB27" s="3"/>
      <c r="AC27" s="3"/>
      <c r="AD27" s="3"/>
      <c r="AE27" s="3"/>
      <c r="AF27" s="3"/>
    </row>
    <row r="28" spans="1:32" ht="12" customHeight="1" x14ac:dyDescent="0.3">
      <c r="A28" s="4"/>
      <c r="B28" s="3"/>
      <c r="C28" s="295"/>
      <c r="D28" s="197"/>
      <c r="E28" s="197"/>
      <c r="F28" s="197"/>
      <c r="G28" s="197"/>
      <c r="H28" s="197"/>
      <c r="I28" s="197"/>
      <c r="J28" s="197"/>
      <c r="K28" s="197"/>
      <c r="L28" s="197"/>
      <c r="M28" s="197"/>
      <c r="N28" s="197"/>
      <c r="O28" s="198"/>
      <c r="P28" s="3"/>
      <c r="Q28" s="4"/>
      <c r="R28" s="3"/>
      <c r="S28" s="122" t="s">
        <v>165</v>
      </c>
      <c r="T28" s="122"/>
      <c r="U28" s="122">
        <v>0</v>
      </c>
      <c r="V28" s="122">
        <v>0.33</v>
      </c>
      <c r="W28" s="122">
        <v>0.67</v>
      </c>
      <c r="X28" s="122">
        <v>1</v>
      </c>
      <c r="Y28" s="3"/>
      <c r="Z28" s="129"/>
      <c r="AA28" s="129"/>
      <c r="AB28" s="29"/>
      <c r="AC28" s="312"/>
      <c r="AD28" s="197"/>
      <c r="AE28" s="197"/>
      <c r="AF28" s="198"/>
    </row>
    <row r="29" spans="1:32" ht="15.75" customHeight="1" x14ac:dyDescent="0.3">
      <c r="A29" s="4"/>
      <c r="B29" s="3"/>
      <c r="C29" s="293" t="s">
        <v>13</v>
      </c>
      <c r="D29" s="197"/>
      <c r="E29" s="198"/>
      <c r="F29" s="39"/>
      <c r="G29" s="123"/>
      <c r="H29" s="176" t="s">
        <v>172</v>
      </c>
      <c r="I29" s="29"/>
      <c r="J29" s="176" t="s">
        <v>173</v>
      </c>
      <c r="K29" s="123"/>
      <c r="L29" s="123"/>
      <c r="M29" s="314" t="s">
        <v>160</v>
      </c>
      <c r="N29" s="197"/>
      <c r="O29" s="198"/>
      <c r="P29" s="3"/>
      <c r="Q29" s="4"/>
      <c r="R29" s="3"/>
      <c r="S29" s="122" t="s">
        <v>164</v>
      </c>
      <c r="T29" s="122">
        <v>1</v>
      </c>
      <c r="U29" s="130">
        <f>U28-T29</f>
        <v>-1</v>
      </c>
      <c r="V29" s="130">
        <f>V28-T29</f>
        <v>-0.66999999999999993</v>
      </c>
      <c r="W29" s="130">
        <f>W28-T29</f>
        <v>-0.32999999999999996</v>
      </c>
      <c r="X29" s="131">
        <f>X28-T29</f>
        <v>0</v>
      </c>
      <c r="Y29" s="3"/>
      <c r="Z29" s="132"/>
      <c r="AA29" s="132"/>
      <c r="AB29" s="29"/>
      <c r="AC29" s="132"/>
      <c r="AD29" s="132"/>
      <c r="AE29" s="132"/>
      <c r="AF29" s="132"/>
    </row>
    <row r="30" spans="1:32" ht="19.5" customHeight="1" x14ac:dyDescent="0.3">
      <c r="A30" s="4"/>
      <c r="B30" s="3"/>
      <c r="C30" s="291" t="s">
        <v>15</v>
      </c>
      <c r="D30" s="197"/>
      <c r="E30" s="198"/>
      <c r="F30" s="39"/>
      <c r="G30" s="124"/>
      <c r="H30" s="177">
        <f>'4. Vulnérabilité'!V43</f>
        <v>1</v>
      </c>
      <c r="I30" s="29"/>
      <c r="J30" s="177">
        <f>'5. Capacité'!P33</f>
        <v>0.67</v>
      </c>
      <c r="K30" s="125"/>
      <c r="L30" s="125"/>
      <c r="M30" s="313" t="str">
        <f t="shared" ref="M30:M37" si="1">IF(AND(H30&lt;&gt;"",J30&lt;&gt;""),IF((H30-J30)&lt;-0.32,"LOW",IF((H30-J30)&lt;0.33,"MODERATE","HIGH")),"")</f>
        <v>HIGH</v>
      </c>
      <c r="N30" s="197"/>
      <c r="O30" s="198"/>
      <c r="P30" s="3"/>
      <c r="Q30" s="4"/>
      <c r="R30" s="3"/>
      <c r="S30" s="122" t="s">
        <v>163</v>
      </c>
      <c r="T30" s="122">
        <v>0.67</v>
      </c>
      <c r="U30" s="130">
        <f>U28-T30</f>
        <v>-0.67</v>
      </c>
      <c r="V30" s="130">
        <f>V28-T30</f>
        <v>-0.34</v>
      </c>
      <c r="W30" s="131">
        <f>W28-T30</f>
        <v>0</v>
      </c>
      <c r="X30" s="133">
        <f>X28-T30</f>
        <v>0.32999999999999996</v>
      </c>
      <c r="Y30" s="3"/>
      <c r="Z30" s="134"/>
      <c r="AA30" s="134"/>
      <c r="AB30" s="29"/>
      <c r="AC30" s="134"/>
      <c r="AD30" s="134"/>
      <c r="AE30" s="134"/>
      <c r="AF30" s="134"/>
    </row>
    <row r="31" spans="1:32" ht="19.5" customHeight="1" x14ac:dyDescent="0.3">
      <c r="A31" s="4"/>
      <c r="B31" s="3"/>
      <c r="C31" s="292" t="s">
        <v>16</v>
      </c>
      <c r="D31" s="197"/>
      <c r="E31" s="198"/>
      <c r="F31" s="39"/>
      <c r="G31" s="124"/>
      <c r="H31" s="178">
        <f>'4. Vulnérabilité'!V44</f>
        <v>1</v>
      </c>
      <c r="I31" s="29"/>
      <c r="J31" s="178">
        <f>'5. Capacité'!P34</f>
        <v>0.67</v>
      </c>
      <c r="K31" s="125"/>
      <c r="L31" s="125"/>
      <c r="M31" s="313" t="str">
        <f t="shared" si="1"/>
        <v>HIGH</v>
      </c>
      <c r="N31" s="197"/>
      <c r="O31" s="198"/>
      <c r="P31" s="3"/>
      <c r="Q31" s="4"/>
      <c r="R31" s="3"/>
      <c r="S31" s="122" t="s">
        <v>162</v>
      </c>
      <c r="T31" s="122">
        <v>0.33</v>
      </c>
      <c r="U31" s="130">
        <f>U28-T31</f>
        <v>-0.33</v>
      </c>
      <c r="V31" s="131">
        <f>V28-T31</f>
        <v>0</v>
      </c>
      <c r="W31" s="133">
        <f>W28-T31</f>
        <v>0.34</v>
      </c>
      <c r="X31" s="133">
        <f>X28-T31</f>
        <v>0.66999999999999993</v>
      </c>
      <c r="Y31" s="3"/>
      <c r="Z31" s="134"/>
      <c r="AA31" s="29"/>
      <c r="AB31" s="29"/>
      <c r="AC31" s="29"/>
      <c r="AD31" s="29"/>
      <c r="AE31" s="29"/>
      <c r="AF31" s="29"/>
    </row>
    <row r="32" spans="1:32" ht="19.5" customHeight="1" x14ac:dyDescent="0.3">
      <c r="A32" s="4"/>
      <c r="B32" s="3"/>
      <c r="C32" s="291" t="s">
        <v>17</v>
      </c>
      <c r="D32" s="197"/>
      <c r="E32" s="198"/>
      <c r="F32" s="39"/>
      <c r="G32" s="124"/>
      <c r="H32" s="177">
        <f>'4. Vulnérabilité'!V45</f>
        <v>1</v>
      </c>
      <c r="I32" s="29"/>
      <c r="J32" s="177">
        <f>'5. Capacité'!P35</f>
        <v>0.67</v>
      </c>
      <c r="K32" s="125"/>
      <c r="L32" s="125"/>
      <c r="M32" s="313" t="str">
        <f t="shared" si="1"/>
        <v>HIGH</v>
      </c>
      <c r="N32" s="197"/>
      <c r="O32" s="198"/>
      <c r="P32" s="3"/>
      <c r="Q32" s="4"/>
      <c r="R32" s="3"/>
      <c r="S32" s="122"/>
      <c r="T32" s="122"/>
      <c r="U32" s="130"/>
      <c r="V32" s="131"/>
      <c r="W32" s="133"/>
      <c r="X32" s="133"/>
      <c r="Y32" s="3"/>
      <c r="Z32" s="134"/>
      <c r="AA32" s="29"/>
      <c r="AB32" s="29"/>
      <c r="AC32" s="29"/>
      <c r="AD32" s="29"/>
      <c r="AE32" s="29"/>
      <c r="AF32" s="29"/>
    </row>
    <row r="33" spans="1:32" ht="19.5" customHeight="1" x14ac:dyDescent="0.3">
      <c r="A33" s="4"/>
      <c r="B33" s="3"/>
      <c r="C33" s="292" t="s">
        <v>111</v>
      </c>
      <c r="D33" s="197"/>
      <c r="E33" s="198"/>
      <c r="F33" s="39"/>
      <c r="G33" s="124"/>
      <c r="H33" s="178">
        <f>'4. Vulnérabilité'!V46</f>
        <v>0.67</v>
      </c>
      <c r="I33" s="29"/>
      <c r="J33" s="178">
        <f>'5. Capacité'!P36</f>
        <v>0.67</v>
      </c>
      <c r="K33" s="125"/>
      <c r="L33" s="125"/>
      <c r="M33" s="313" t="str">
        <f t="shared" si="1"/>
        <v>MODERATE</v>
      </c>
      <c r="N33" s="197"/>
      <c r="O33" s="198"/>
      <c r="P33" s="3"/>
      <c r="Q33" s="4"/>
      <c r="R33" s="3"/>
      <c r="S33" s="122"/>
      <c r="T33" s="122"/>
      <c r="U33" s="130"/>
      <c r="V33" s="131"/>
      <c r="W33" s="133"/>
      <c r="X33" s="133"/>
      <c r="Y33" s="3"/>
      <c r="Z33" s="134"/>
      <c r="AA33" s="29"/>
      <c r="AB33" s="29"/>
      <c r="AC33" s="29"/>
      <c r="AD33" s="29"/>
      <c r="AE33" s="29"/>
      <c r="AF33" s="29"/>
    </row>
    <row r="34" spans="1:32" ht="19.5" customHeight="1" x14ac:dyDescent="0.3">
      <c r="A34" s="4"/>
      <c r="B34" s="3"/>
      <c r="C34" s="291" t="s">
        <v>19</v>
      </c>
      <c r="D34" s="197"/>
      <c r="E34" s="198"/>
      <c r="F34" s="39"/>
      <c r="G34" s="124"/>
      <c r="H34" s="177">
        <f>'4. Vulnérabilité'!V47</f>
        <v>1</v>
      </c>
      <c r="I34" s="29"/>
      <c r="J34" s="177">
        <f>'5. Capacité'!P37</f>
        <v>0.67</v>
      </c>
      <c r="K34" s="125"/>
      <c r="L34" s="125"/>
      <c r="M34" s="313" t="str">
        <f t="shared" si="1"/>
        <v>HIGH</v>
      </c>
      <c r="N34" s="197"/>
      <c r="O34" s="198"/>
      <c r="P34" s="3"/>
      <c r="Q34" s="4"/>
      <c r="R34" s="3"/>
      <c r="S34" s="122"/>
      <c r="T34" s="122"/>
      <c r="U34" s="130"/>
      <c r="V34" s="131"/>
      <c r="W34" s="133"/>
      <c r="X34" s="133"/>
      <c r="Y34" s="3"/>
      <c r="Z34" s="134"/>
      <c r="AA34" s="29"/>
      <c r="AB34" s="29"/>
      <c r="AC34" s="29"/>
      <c r="AD34" s="29"/>
      <c r="AE34" s="29"/>
      <c r="AF34" s="29"/>
    </row>
    <row r="35" spans="1:32" ht="19.5" customHeight="1" x14ac:dyDescent="0.3">
      <c r="A35" s="4"/>
      <c r="B35" s="3"/>
      <c r="C35" s="292" t="s">
        <v>113</v>
      </c>
      <c r="D35" s="197"/>
      <c r="E35" s="198"/>
      <c r="F35" s="39"/>
      <c r="G35" s="124"/>
      <c r="H35" s="178">
        <f>'4. Vulnérabilité'!V48</f>
        <v>0.67</v>
      </c>
      <c r="I35" s="29"/>
      <c r="J35" s="178">
        <f>'5. Capacité'!P38</f>
        <v>0.33</v>
      </c>
      <c r="K35" s="125"/>
      <c r="L35" s="125"/>
      <c r="M35" s="313" t="str">
        <f t="shared" si="1"/>
        <v>HIGH</v>
      </c>
      <c r="N35" s="197"/>
      <c r="O35" s="198"/>
      <c r="P35" s="3"/>
      <c r="Q35" s="4"/>
      <c r="R35" s="3"/>
      <c r="S35" s="122" t="s">
        <v>161</v>
      </c>
      <c r="T35" s="122">
        <v>0</v>
      </c>
      <c r="U35" s="131">
        <v>0</v>
      </c>
      <c r="V35" s="133">
        <f>V28-T35</f>
        <v>0.33</v>
      </c>
      <c r="W35" s="133">
        <f>W28-T35</f>
        <v>0.67</v>
      </c>
      <c r="X35" s="133">
        <f>X28-T35</f>
        <v>1</v>
      </c>
      <c r="Y35" s="3"/>
      <c r="Z35" s="134"/>
      <c r="AA35" s="29"/>
      <c r="AB35" s="29"/>
      <c r="AC35" s="29"/>
      <c r="AD35" s="29"/>
      <c r="AE35" s="29"/>
      <c r="AF35" s="29"/>
    </row>
    <row r="36" spans="1:32" ht="19.5" customHeight="1" x14ac:dyDescent="0.3">
      <c r="A36" s="4"/>
      <c r="B36" s="3"/>
      <c r="C36" s="291" t="s">
        <v>114</v>
      </c>
      <c r="D36" s="197"/>
      <c r="E36" s="198"/>
      <c r="F36" s="39"/>
      <c r="G36" s="124"/>
      <c r="H36" s="177">
        <f>'4. Vulnérabilité'!V49</f>
        <v>1</v>
      </c>
      <c r="I36" s="29"/>
      <c r="J36" s="177">
        <f>'5. Capacité'!P39</f>
        <v>1</v>
      </c>
      <c r="K36" s="125"/>
      <c r="L36" s="125"/>
      <c r="M36" s="313" t="str">
        <f t="shared" si="1"/>
        <v>MODERATE</v>
      </c>
      <c r="N36" s="197"/>
      <c r="O36" s="198"/>
      <c r="P36" s="3"/>
      <c r="Q36" s="4"/>
      <c r="R36" s="3"/>
      <c r="S36" s="3"/>
      <c r="T36" s="3"/>
      <c r="U36" s="3"/>
      <c r="V36" s="3"/>
      <c r="W36" s="3"/>
      <c r="X36" s="3"/>
      <c r="Y36" s="3"/>
      <c r="Z36" s="134"/>
      <c r="AA36" s="29"/>
      <c r="AB36" s="29"/>
      <c r="AC36" s="29"/>
      <c r="AD36" s="29"/>
      <c r="AE36" s="29"/>
      <c r="AF36" s="29"/>
    </row>
    <row r="37" spans="1:32" ht="19.5" customHeight="1" x14ac:dyDescent="0.3">
      <c r="A37" s="4"/>
      <c r="B37" s="3"/>
      <c r="C37" s="292" t="s">
        <v>115</v>
      </c>
      <c r="D37" s="197"/>
      <c r="E37" s="198"/>
      <c r="F37" s="39"/>
      <c r="G37" s="124"/>
      <c r="H37" s="178" t="str">
        <f>'4. Vulnérabilité'!V50</f>
        <v/>
      </c>
      <c r="I37" s="29"/>
      <c r="J37" s="178">
        <f>'5. Capacité'!P40</f>
        <v>0.33</v>
      </c>
      <c r="K37" s="125"/>
      <c r="L37" s="125"/>
      <c r="M37" s="313" t="str">
        <f t="shared" si="1"/>
        <v/>
      </c>
      <c r="N37" s="197"/>
      <c r="O37" s="198"/>
      <c r="P37" s="3"/>
      <c r="Q37" s="4"/>
      <c r="R37" s="3"/>
      <c r="S37" s="134"/>
      <c r="T37" s="29"/>
      <c r="U37" s="135"/>
      <c r="V37" s="135"/>
      <c r="W37" s="135"/>
      <c r="X37" s="134"/>
      <c r="Y37" s="134"/>
      <c r="Z37" s="134"/>
      <c r="AA37" s="29"/>
      <c r="AB37" s="29"/>
      <c r="AC37" s="29"/>
      <c r="AD37" s="29"/>
      <c r="AE37" s="29"/>
      <c r="AF37" s="29"/>
    </row>
    <row r="38" spans="1:32" ht="19.5" customHeight="1" x14ac:dyDescent="0.3">
      <c r="A38" s="4"/>
      <c r="B38" s="3"/>
      <c r="C38" s="291" t="s">
        <v>169</v>
      </c>
      <c r="D38" s="197"/>
      <c r="E38" s="198"/>
      <c r="F38" s="39"/>
      <c r="G38" s="124"/>
      <c r="H38" s="126" t="s">
        <v>170</v>
      </c>
      <c r="I38" s="3"/>
      <c r="J38" s="126" t="s">
        <v>170</v>
      </c>
      <c r="K38" s="125"/>
      <c r="L38" s="125"/>
      <c r="M38" s="313" t="str">
        <f t="shared" ref="M38:M40" si="2">M23</f>
        <v>FAIBLE</v>
      </c>
      <c r="N38" s="197"/>
      <c r="O38" s="198"/>
      <c r="P38" s="3"/>
      <c r="Q38" s="4"/>
      <c r="R38" s="3"/>
      <c r="S38" s="134"/>
      <c r="T38" s="29"/>
      <c r="U38" s="135"/>
      <c r="V38" s="135"/>
      <c r="W38" s="135"/>
      <c r="X38" s="134"/>
      <c r="Y38" s="134"/>
      <c r="Z38" s="134"/>
      <c r="AA38" s="29"/>
      <c r="AB38" s="29"/>
      <c r="AC38" s="29"/>
      <c r="AD38" s="29"/>
      <c r="AE38" s="29"/>
      <c r="AF38" s="29"/>
    </row>
    <row r="39" spans="1:32" ht="19.5" customHeight="1" x14ac:dyDescent="0.3">
      <c r="A39" s="4"/>
      <c r="B39" s="3"/>
      <c r="C39" s="292" t="s">
        <v>171</v>
      </c>
      <c r="D39" s="197"/>
      <c r="E39" s="198"/>
      <c r="F39" s="39"/>
      <c r="G39" s="124"/>
      <c r="H39" s="126"/>
      <c r="I39" s="3"/>
      <c r="J39" s="126"/>
      <c r="K39" s="125"/>
      <c r="L39" s="125"/>
      <c r="M39" s="313" t="str">
        <f t="shared" si="2"/>
        <v>FAIBLE</v>
      </c>
      <c r="N39" s="197"/>
      <c r="O39" s="198"/>
      <c r="P39" s="3"/>
      <c r="Q39" s="4"/>
      <c r="R39" s="3"/>
      <c r="S39" s="134"/>
      <c r="T39" s="37"/>
      <c r="U39" s="136"/>
      <c r="V39" s="136"/>
      <c r="W39" s="136"/>
      <c r="X39" s="134"/>
      <c r="Y39" s="134"/>
      <c r="Z39" s="134"/>
      <c r="AA39" s="29"/>
      <c r="AB39" s="29"/>
      <c r="AC39" s="29"/>
      <c r="AD39" s="29"/>
      <c r="AE39" s="29"/>
      <c r="AF39" s="29"/>
    </row>
    <row r="40" spans="1:32" ht="19.5" customHeight="1" x14ac:dyDescent="0.3">
      <c r="A40" s="4"/>
      <c r="B40" s="3"/>
      <c r="C40" s="291" t="s">
        <v>25</v>
      </c>
      <c r="D40" s="197"/>
      <c r="E40" s="198"/>
      <c r="F40" s="39"/>
      <c r="G40" s="124"/>
      <c r="H40" s="126" t="s">
        <v>170</v>
      </c>
      <c r="I40" s="3"/>
      <c r="J40" s="126" t="s">
        <v>170</v>
      </c>
      <c r="K40" s="125"/>
      <c r="L40" s="125"/>
      <c r="M40" s="313" t="str">
        <f t="shared" si="2"/>
        <v>MOYENNE</v>
      </c>
      <c r="N40" s="197"/>
      <c r="O40" s="198"/>
      <c r="P40" s="3"/>
      <c r="Q40" s="4"/>
      <c r="R40" s="3"/>
      <c r="S40" s="134"/>
      <c r="T40" s="137"/>
      <c r="U40" s="138"/>
      <c r="V40" s="138"/>
      <c r="W40" s="138"/>
      <c r="X40" s="134"/>
      <c r="Y40" s="134"/>
      <c r="Z40" s="134"/>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297"/>
      <c r="F42" s="200"/>
      <c r="G42" s="200"/>
      <c r="H42" s="201"/>
      <c r="I42" s="100"/>
      <c r="J42" s="183"/>
      <c r="K42" s="100"/>
      <c r="L42" s="100"/>
      <c r="M42" s="100"/>
      <c r="N42" s="100"/>
      <c r="O42" s="100"/>
      <c r="P42" s="3"/>
      <c r="Q42" s="4"/>
      <c r="R42" s="3"/>
      <c r="S42" s="3"/>
      <c r="T42" s="3"/>
      <c r="U42" s="3"/>
      <c r="V42" s="3"/>
      <c r="W42" s="3"/>
      <c r="X42" s="311"/>
      <c r="Y42" s="197"/>
      <c r="Z42" s="197"/>
      <c r="AA42" s="198"/>
      <c r="AB42" s="3"/>
      <c r="AC42" s="311"/>
      <c r="AD42" s="197"/>
      <c r="AE42" s="197"/>
      <c r="AF42" s="198"/>
    </row>
    <row r="43" spans="1:32" ht="12" customHeight="1" x14ac:dyDescent="0.3">
      <c r="A43" s="4"/>
      <c r="B43" s="3"/>
      <c r="C43" s="295"/>
      <c r="D43" s="197"/>
      <c r="E43" s="197"/>
      <c r="F43" s="197"/>
      <c r="G43" s="197"/>
      <c r="H43" s="197"/>
      <c r="I43" s="197"/>
      <c r="J43" s="197"/>
      <c r="K43" s="197"/>
      <c r="L43" s="197"/>
      <c r="M43" s="197"/>
      <c r="N43" s="197"/>
      <c r="O43" s="198"/>
      <c r="P43" s="3"/>
      <c r="Q43" s="4"/>
      <c r="R43" s="3"/>
      <c r="S43" s="3"/>
      <c r="T43" s="3"/>
      <c r="U43" s="3"/>
      <c r="V43" s="3"/>
      <c r="W43" s="3"/>
      <c r="X43" s="312"/>
      <c r="Y43" s="197"/>
      <c r="Z43" s="197"/>
      <c r="AA43" s="198"/>
      <c r="AB43" s="29"/>
      <c r="AC43" s="312"/>
      <c r="AD43" s="197"/>
      <c r="AE43" s="197"/>
      <c r="AF43" s="198"/>
    </row>
    <row r="44" spans="1:32" ht="15.75" customHeight="1" x14ac:dyDescent="0.3">
      <c r="A44" s="4"/>
      <c r="B44" s="3"/>
      <c r="C44" s="293" t="s">
        <v>13</v>
      </c>
      <c r="D44" s="197"/>
      <c r="E44" s="198"/>
      <c r="F44" s="39"/>
      <c r="G44" s="123"/>
      <c r="H44" s="176" t="s">
        <v>172</v>
      </c>
      <c r="I44" s="29"/>
      <c r="J44" s="176" t="s">
        <v>173</v>
      </c>
      <c r="K44" s="123"/>
      <c r="L44" s="123"/>
      <c r="M44" s="314" t="s">
        <v>160</v>
      </c>
      <c r="N44" s="197"/>
      <c r="O44" s="198"/>
      <c r="P44" s="3"/>
      <c r="Q44" s="4"/>
      <c r="R44" s="3"/>
      <c r="S44" s="3"/>
      <c r="T44" s="3"/>
      <c r="U44" s="3"/>
      <c r="V44" s="3"/>
      <c r="W44" s="3"/>
      <c r="X44" s="132"/>
      <c r="Y44" s="132"/>
      <c r="Z44" s="132"/>
      <c r="AA44" s="132"/>
      <c r="AB44" s="29"/>
      <c r="AC44" s="132"/>
      <c r="AD44" s="132"/>
      <c r="AE44" s="132"/>
      <c r="AF44" s="132"/>
    </row>
    <row r="45" spans="1:32" ht="19.5" customHeight="1" x14ac:dyDescent="0.3">
      <c r="A45" s="4"/>
      <c r="B45" s="3"/>
      <c r="C45" s="291" t="s">
        <v>15</v>
      </c>
      <c r="D45" s="197"/>
      <c r="E45" s="198"/>
      <c r="F45" s="39"/>
      <c r="G45" s="124"/>
      <c r="H45" s="177">
        <f>'4. Vulnérabilité'!V57</f>
        <v>1</v>
      </c>
      <c r="I45" s="29"/>
      <c r="J45" s="177">
        <f>'5. Capacité'!P47</f>
        <v>0.67</v>
      </c>
      <c r="K45" s="125"/>
      <c r="L45" s="125"/>
      <c r="M45" s="313" t="str">
        <f t="shared" ref="M45:M52" si="3">IF(AND(H45&lt;&gt;"",J45&lt;&gt;""),IF((H45-J45)&lt;-0.32,"LOW",IF((H45-J45)&lt;0.33,"MODERATE","HIGH")),"")</f>
        <v>HIGH</v>
      </c>
      <c r="N45" s="197"/>
      <c r="O45" s="198"/>
      <c r="P45" s="3"/>
      <c r="Q45" s="4"/>
      <c r="R45" s="3"/>
      <c r="S45" s="139"/>
      <c r="T45" s="139"/>
      <c r="U45" s="139"/>
      <c r="V45" s="139"/>
      <c r="W45" s="139"/>
      <c r="X45" s="134"/>
      <c r="Y45" s="134"/>
      <c r="Z45" s="134"/>
      <c r="AA45" s="134"/>
      <c r="AB45" s="29"/>
      <c r="AC45" s="134"/>
      <c r="AD45" s="134"/>
      <c r="AE45" s="134"/>
      <c r="AF45" s="134"/>
    </row>
    <row r="46" spans="1:32" ht="19.5" customHeight="1" x14ac:dyDescent="0.3">
      <c r="A46" s="4"/>
      <c r="B46" s="3"/>
      <c r="C46" s="292" t="s">
        <v>16</v>
      </c>
      <c r="D46" s="197"/>
      <c r="E46" s="198"/>
      <c r="F46" s="39"/>
      <c r="G46" s="124"/>
      <c r="H46" s="178">
        <f>'4. Vulnérabilité'!V58</f>
        <v>1</v>
      </c>
      <c r="I46" s="29"/>
      <c r="J46" s="178">
        <f>'5. Capacité'!P48</f>
        <v>0.67</v>
      </c>
      <c r="K46" s="125"/>
      <c r="L46" s="125"/>
      <c r="M46" s="313" t="str">
        <f t="shared" si="3"/>
        <v>HIGH</v>
      </c>
      <c r="N46" s="197"/>
      <c r="O46" s="198"/>
      <c r="P46" s="3"/>
      <c r="Q46" s="4"/>
      <c r="R46" s="3"/>
      <c r="S46" s="134"/>
      <c r="T46" s="323"/>
      <c r="U46" s="325"/>
      <c r="V46" s="138"/>
      <c r="W46" s="138"/>
      <c r="X46" s="134"/>
      <c r="Y46" s="134"/>
      <c r="Z46" s="134"/>
      <c r="AA46" s="134"/>
      <c r="AB46" s="29"/>
      <c r="AC46" s="134"/>
      <c r="AD46" s="134"/>
      <c r="AE46" s="134"/>
      <c r="AF46" s="134"/>
    </row>
    <row r="47" spans="1:32" ht="19.5" customHeight="1" x14ac:dyDescent="0.3">
      <c r="A47" s="4"/>
      <c r="B47" s="3"/>
      <c r="C47" s="291" t="s">
        <v>17</v>
      </c>
      <c r="D47" s="197"/>
      <c r="E47" s="198"/>
      <c r="F47" s="39"/>
      <c r="G47" s="124"/>
      <c r="H47" s="177">
        <f>'4. Vulnérabilité'!V59</f>
        <v>1</v>
      </c>
      <c r="I47" s="29"/>
      <c r="J47" s="177">
        <f>'5. Capacité'!P49</f>
        <v>0.67</v>
      </c>
      <c r="K47" s="125"/>
      <c r="L47" s="125"/>
      <c r="M47" s="313" t="str">
        <f t="shared" si="3"/>
        <v>HIGH</v>
      </c>
      <c r="N47" s="197"/>
      <c r="O47" s="198"/>
      <c r="P47" s="3"/>
      <c r="Q47" s="4"/>
      <c r="R47" s="3"/>
      <c r="S47" s="134"/>
      <c r="T47" s="324"/>
      <c r="U47" s="324"/>
      <c r="V47" s="140"/>
      <c r="W47" s="140"/>
      <c r="X47" s="134"/>
      <c r="Y47" s="134"/>
      <c r="Z47" s="134"/>
      <c r="AA47" s="134"/>
      <c r="AB47" s="29"/>
      <c r="AC47" s="134"/>
      <c r="AD47" s="134"/>
      <c r="AE47" s="134"/>
      <c r="AF47" s="134"/>
    </row>
    <row r="48" spans="1:32" ht="19.5" customHeight="1" x14ac:dyDescent="0.3">
      <c r="A48" s="4"/>
      <c r="B48" s="3"/>
      <c r="C48" s="292" t="s">
        <v>111</v>
      </c>
      <c r="D48" s="197"/>
      <c r="E48" s="198"/>
      <c r="F48" s="39"/>
      <c r="G48" s="124"/>
      <c r="H48" s="178">
        <f>'4. Vulnérabilité'!V60</f>
        <v>0.33</v>
      </c>
      <c r="I48" s="29"/>
      <c r="J48" s="178">
        <f>'5. Capacité'!P50</f>
        <v>0.33</v>
      </c>
      <c r="K48" s="125"/>
      <c r="L48" s="125"/>
      <c r="M48" s="313" t="str">
        <f t="shared" si="3"/>
        <v>MODERATE</v>
      </c>
      <c r="N48" s="197"/>
      <c r="O48" s="198"/>
      <c r="P48" s="3"/>
      <c r="Q48" s="4"/>
      <c r="R48" s="3"/>
      <c r="S48" s="134"/>
      <c r="T48" s="324"/>
      <c r="U48" s="324"/>
      <c r="V48" s="140"/>
      <c r="W48" s="140"/>
      <c r="X48" s="134"/>
      <c r="Y48" s="134"/>
      <c r="Z48" s="134"/>
      <c r="AA48" s="134"/>
      <c r="AB48" s="29"/>
      <c r="AC48" s="134"/>
      <c r="AD48" s="134"/>
      <c r="AE48" s="134"/>
      <c r="AF48" s="134"/>
    </row>
    <row r="49" spans="1:32" ht="19.5" customHeight="1" x14ac:dyDescent="0.3">
      <c r="A49" s="4"/>
      <c r="B49" s="3"/>
      <c r="C49" s="291" t="s">
        <v>19</v>
      </c>
      <c r="D49" s="197"/>
      <c r="E49" s="198"/>
      <c r="F49" s="39"/>
      <c r="G49" s="124"/>
      <c r="H49" s="177">
        <f>'4. Vulnérabilité'!V61</f>
        <v>1</v>
      </c>
      <c r="I49" s="29"/>
      <c r="J49" s="177">
        <f>'5. Capacité'!P51</f>
        <v>0.33</v>
      </c>
      <c r="K49" s="125"/>
      <c r="L49" s="125"/>
      <c r="M49" s="313" t="str">
        <f t="shared" si="3"/>
        <v>HIGH</v>
      </c>
      <c r="N49" s="197"/>
      <c r="O49" s="198"/>
      <c r="P49" s="3"/>
      <c r="Q49" s="4"/>
      <c r="R49" s="3"/>
      <c r="S49" s="134"/>
      <c r="T49" s="324"/>
      <c r="U49" s="324"/>
      <c r="V49" s="140"/>
      <c r="W49" s="140"/>
      <c r="X49" s="134"/>
      <c r="Y49" s="134"/>
      <c r="Z49" s="134"/>
      <c r="AA49" s="134"/>
      <c r="AB49" s="29"/>
      <c r="AC49" s="134"/>
      <c r="AD49" s="134"/>
      <c r="AE49" s="134"/>
      <c r="AF49" s="134"/>
    </row>
    <row r="50" spans="1:32" ht="19.5" customHeight="1" x14ac:dyDescent="0.3">
      <c r="A50" s="4"/>
      <c r="B50" s="3"/>
      <c r="C50" s="292" t="s">
        <v>113</v>
      </c>
      <c r="D50" s="197"/>
      <c r="E50" s="198"/>
      <c r="F50" s="39"/>
      <c r="G50" s="124"/>
      <c r="H50" s="178">
        <f>'4. Vulnérabilité'!V62</f>
        <v>0.67</v>
      </c>
      <c r="I50" s="29"/>
      <c r="J50" s="178">
        <f>'5. Capacité'!P52</f>
        <v>1</v>
      </c>
      <c r="K50" s="125"/>
      <c r="L50" s="125"/>
      <c r="M50" s="313" t="str">
        <f t="shared" si="3"/>
        <v>LOW</v>
      </c>
      <c r="N50" s="197"/>
      <c r="O50" s="198"/>
      <c r="P50" s="3"/>
      <c r="Q50" s="4"/>
      <c r="R50" s="3"/>
      <c r="S50" s="134"/>
      <c r="T50" s="257"/>
      <c r="U50" s="257"/>
      <c r="V50" s="141"/>
      <c r="W50" s="141"/>
      <c r="X50" s="134"/>
      <c r="Y50" s="134"/>
      <c r="Z50" s="134"/>
      <c r="AA50" s="134"/>
      <c r="AB50" s="29"/>
      <c r="AC50" s="134"/>
      <c r="AD50" s="134"/>
      <c r="AE50" s="134"/>
      <c r="AF50" s="134"/>
    </row>
    <row r="51" spans="1:32" ht="19.5" customHeight="1" x14ac:dyDescent="0.3">
      <c r="A51" s="4"/>
      <c r="B51" s="3"/>
      <c r="C51" s="291" t="s">
        <v>114</v>
      </c>
      <c r="D51" s="197"/>
      <c r="E51" s="198"/>
      <c r="F51" s="39"/>
      <c r="G51" s="124"/>
      <c r="H51" s="177">
        <f>'4. Vulnérabilité'!V63</f>
        <v>0.67</v>
      </c>
      <c r="I51" s="29"/>
      <c r="J51" s="177">
        <f>'5. Capacité'!P53</f>
        <v>1</v>
      </c>
      <c r="K51" s="125"/>
      <c r="L51" s="125"/>
      <c r="M51" s="313" t="str">
        <f t="shared" si="3"/>
        <v>LOW</v>
      </c>
      <c r="N51" s="197"/>
      <c r="O51" s="198"/>
      <c r="P51" s="3"/>
      <c r="Q51" s="4"/>
      <c r="R51" s="3"/>
      <c r="S51" s="134"/>
      <c r="T51" s="323"/>
      <c r="U51" s="325"/>
      <c r="V51" s="138"/>
      <c r="W51" s="138"/>
      <c r="X51" s="134"/>
      <c r="Y51" s="134"/>
      <c r="Z51" s="134"/>
      <c r="AA51" s="134"/>
      <c r="AB51" s="29"/>
      <c r="AC51" s="134"/>
      <c r="AD51" s="134"/>
      <c r="AE51" s="134"/>
      <c r="AF51" s="134"/>
    </row>
    <row r="52" spans="1:32" ht="19.5" customHeight="1" x14ac:dyDescent="0.3">
      <c r="A52" s="4"/>
      <c r="B52" s="3"/>
      <c r="C52" s="292" t="s">
        <v>115</v>
      </c>
      <c r="D52" s="197"/>
      <c r="E52" s="198"/>
      <c r="F52" s="39"/>
      <c r="G52" s="124"/>
      <c r="H52" s="178">
        <f>'4. Vulnérabilité'!V64</f>
        <v>0.33</v>
      </c>
      <c r="I52" s="29"/>
      <c r="J52" s="178">
        <f>'5. Capacité'!P54</f>
        <v>0.67</v>
      </c>
      <c r="K52" s="125"/>
      <c r="L52" s="125"/>
      <c r="M52" s="313" t="str">
        <f t="shared" si="3"/>
        <v>LOW</v>
      </c>
      <c r="N52" s="197"/>
      <c r="O52" s="198"/>
      <c r="P52" s="3"/>
      <c r="Q52" s="4"/>
      <c r="R52" s="3"/>
      <c r="S52" s="134"/>
      <c r="T52" s="324"/>
      <c r="U52" s="324"/>
      <c r="V52" s="140"/>
      <c r="W52" s="140"/>
      <c r="X52" s="134"/>
      <c r="Y52" s="134"/>
      <c r="Z52" s="134"/>
      <c r="AA52" s="134"/>
      <c r="AB52" s="29"/>
      <c r="AC52" s="134"/>
      <c r="AD52" s="134"/>
      <c r="AE52" s="134"/>
      <c r="AF52" s="134"/>
    </row>
    <row r="53" spans="1:32" ht="19.5" customHeight="1" x14ac:dyDescent="0.3">
      <c r="A53" s="4"/>
      <c r="B53" s="3"/>
      <c r="C53" s="291" t="s">
        <v>169</v>
      </c>
      <c r="D53" s="197"/>
      <c r="E53" s="198"/>
      <c r="F53" s="39"/>
      <c r="G53" s="124"/>
      <c r="H53" s="126" t="s">
        <v>170</v>
      </c>
      <c r="I53" s="29"/>
      <c r="J53" s="126" t="s">
        <v>170</v>
      </c>
      <c r="K53" s="125"/>
      <c r="L53" s="125"/>
      <c r="M53" s="313" t="str">
        <f t="shared" ref="M53:M55" si="4">M38</f>
        <v>FAIBLE</v>
      </c>
      <c r="N53" s="197"/>
      <c r="O53" s="198"/>
      <c r="P53" s="3"/>
      <c r="Q53" s="4"/>
      <c r="R53" s="3"/>
      <c r="S53" s="134"/>
      <c r="T53" s="257"/>
      <c r="U53" s="257"/>
      <c r="V53" s="141"/>
      <c r="W53" s="141"/>
      <c r="X53" s="134"/>
      <c r="Y53" s="134"/>
      <c r="Z53" s="134"/>
      <c r="AA53" s="134"/>
      <c r="AB53" s="29"/>
      <c r="AC53" s="134"/>
      <c r="AD53" s="134"/>
      <c r="AE53" s="134"/>
      <c r="AF53" s="134"/>
    </row>
    <row r="54" spans="1:32" ht="19.5" customHeight="1" x14ac:dyDescent="0.3">
      <c r="A54" s="4"/>
      <c r="B54" s="3"/>
      <c r="C54" s="292" t="s">
        <v>171</v>
      </c>
      <c r="D54" s="197"/>
      <c r="E54" s="198"/>
      <c r="F54" s="39"/>
      <c r="G54" s="124"/>
      <c r="H54" s="126"/>
      <c r="I54" s="29"/>
      <c r="J54" s="126"/>
      <c r="K54" s="125"/>
      <c r="L54" s="125"/>
      <c r="M54" s="313" t="str">
        <f t="shared" si="4"/>
        <v>FAIBLE</v>
      </c>
      <c r="N54" s="197"/>
      <c r="O54" s="198"/>
      <c r="P54" s="3"/>
      <c r="Q54" s="4"/>
      <c r="R54" s="3"/>
      <c r="S54" s="134"/>
      <c r="T54" s="142"/>
      <c r="U54" s="140"/>
      <c r="V54" s="140"/>
      <c r="W54" s="140"/>
      <c r="X54" s="134"/>
      <c r="Y54" s="134"/>
      <c r="Z54" s="134"/>
      <c r="AA54" s="134"/>
      <c r="AB54" s="29"/>
      <c r="AC54" s="134"/>
      <c r="AD54" s="134"/>
      <c r="AE54" s="134"/>
      <c r="AF54" s="134"/>
    </row>
    <row r="55" spans="1:32" ht="19.5" customHeight="1" x14ac:dyDescent="0.3">
      <c r="A55" s="4"/>
      <c r="B55" s="3"/>
      <c r="C55" s="291" t="s">
        <v>25</v>
      </c>
      <c r="D55" s="197"/>
      <c r="E55" s="198"/>
      <c r="F55" s="39"/>
      <c r="G55" s="124"/>
      <c r="H55" s="126" t="s">
        <v>170</v>
      </c>
      <c r="I55" s="29"/>
      <c r="J55" s="126" t="s">
        <v>170</v>
      </c>
      <c r="K55" s="125"/>
      <c r="L55" s="125"/>
      <c r="M55" s="326" t="str">
        <f t="shared" si="4"/>
        <v>MOYENNE</v>
      </c>
      <c r="N55" s="197"/>
      <c r="O55" s="198"/>
      <c r="P55" s="3"/>
      <c r="Q55" s="4"/>
      <c r="R55" s="3"/>
      <c r="S55" s="134"/>
      <c r="T55" s="137"/>
      <c r="U55" s="138"/>
      <c r="V55" s="138"/>
      <c r="W55" s="138"/>
      <c r="X55" s="134"/>
      <c r="Y55" s="134"/>
      <c r="Z55" s="134"/>
      <c r="AA55" s="134"/>
      <c r="AB55" s="29"/>
      <c r="AC55" s="134"/>
      <c r="AD55" s="134"/>
      <c r="AE55" s="134"/>
      <c r="AF55" s="134"/>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9"/>
      <c r="I57" s="4"/>
      <c r="J57" s="179"/>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174</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175</v>
      </c>
      <c r="N62" s="3" t="s">
        <v>176</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3">
        <v>1.0000000000000013</v>
      </c>
      <c r="N263" s="143">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A25" workbookViewId="0">
      <selection activeCell="N15" sqref="N15"/>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50.69921875" customWidth="1"/>
    <col min="15" max="16" width="1.69921875" customWidth="1"/>
    <col min="17" max="17" width="1" customWidth="1"/>
    <col min="18" max="26" width="10.69921875" customWidth="1"/>
  </cols>
  <sheetData>
    <row r="1" spans="1:26" ht="39.75" customHeight="1" x14ac:dyDescent="0.4">
      <c r="A1" s="144" t="s">
        <v>177</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4" t="s">
        <v>2</v>
      </c>
      <c r="B4" s="205"/>
      <c r="C4" s="206"/>
      <c r="D4" s="6"/>
      <c r="E4" s="7"/>
      <c r="F4" s="7"/>
      <c r="G4" s="7"/>
      <c r="H4" s="7"/>
      <c r="I4" s="7"/>
      <c r="J4" s="7"/>
      <c r="K4" s="7"/>
      <c r="L4" s="7"/>
      <c r="M4" s="7"/>
      <c r="N4" s="7"/>
      <c r="O4" s="7"/>
      <c r="P4" s="7"/>
      <c r="Q4" s="7"/>
      <c r="R4" s="3"/>
      <c r="S4" s="3"/>
      <c r="T4" s="3"/>
      <c r="U4" s="3"/>
      <c r="V4" s="3"/>
      <c r="W4" s="3"/>
      <c r="X4" s="3"/>
      <c r="Y4" s="3"/>
      <c r="Z4" s="3"/>
    </row>
    <row r="5" spans="1:26" ht="31.5" customHeight="1" x14ac:dyDescent="0.3">
      <c r="A5" s="207"/>
      <c r="B5" s="208"/>
      <c r="C5" s="209"/>
      <c r="D5" s="6"/>
      <c r="E5" s="301" t="str">
        <f>'1. Résumé'!E6</f>
        <v>FKT 03/18 Avaradrova</v>
      </c>
      <c r="F5" s="200"/>
      <c r="G5" s="200"/>
      <c r="H5" s="201"/>
      <c r="I5" s="7"/>
      <c r="J5" s="261" t="str">
        <f>'1. Résumé'!G8</f>
        <v>Pays : Madagascar</v>
      </c>
      <c r="K5" s="201"/>
      <c r="L5" s="261"/>
      <c r="M5" s="200"/>
      <c r="N5" s="200"/>
      <c r="O5" s="201"/>
      <c r="P5" s="7"/>
      <c r="Q5" s="7"/>
      <c r="R5" s="3"/>
      <c r="S5" s="3"/>
      <c r="T5" s="3"/>
      <c r="U5" s="3"/>
      <c r="V5" s="3"/>
      <c r="W5" s="3"/>
      <c r="X5" s="3"/>
      <c r="Y5" s="3"/>
      <c r="Z5" s="3"/>
    </row>
    <row r="6" spans="1:26" ht="9.75" customHeight="1" x14ac:dyDescent="0.3">
      <c r="A6" s="210"/>
      <c r="B6" s="211"/>
      <c r="C6" s="212"/>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5" t="s">
        <v>178</v>
      </c>
      <c r="B8" s="200"/>
      <c r="C8" s="200"/>
      <c r="D8" s="200"/>
      <c r="E8" s="200"/>
      <c r="F8" s="200"/>
      <c r="G8" s="200"/>
      <c r="H8" s="200"/>
      <c r="I8" s="200"/>
      <c r="J8" s="200"/>
      <c r="K8" s="200"/>
      <c r="L8" s="200"/>
      <c r="M8" s="200"/>
      <c r="N8" s="200"/>
      <c r="O8" s="200"/>
      <c r="P8" s="200"/>
      <c r="Q8" s="201"/>
      <c r="R8" s="3"/>
      <c r="S8" s="3"/>
      <c r="T8" s="3"/>
      <c r="U8" s="3" t="s">
        <v>9</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02" t="s">
        <v>179</v>
      </c>
      <c r="D10" s="200"/>
      <c r="E10" s="200"/>
      <c r="F10" s="200"/>
      <c r="G10" s="200"/>
      <c r="H10" s="200"/>
      <c r="I10" s="200"/>
      <c r="J10" s="200"/>
      <c r="K10" s="200"/>
      <c r="L10" s="200"/>
      <c r="M10" s="200"/>
      <c r="N10" s="200"/>
      <c r="O10" s="201"/>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32" t="s">
        <v>180</v>
      </c>
      <c r="D12" s="333"/>
      <c r="E12" s="334"/>
      <c r="F12" s="29"/>
      <c r="G12" s="52" t="s">
        <v>13</v>
      </c>
      <c r="H12" s="123"/>
      <c r="I12" s="123"/>
      <c r="J12" s="52" t="s">
        <v>181</v>
      </c>
      <c r="K12" s="29"/>
      <c r="L12" s="145" t="s">
        <v>182</v>
      </c>
      <c r="M12" s="146"/>
      <c r="N12" s="52" t="s">
        <v>183</v>
      </c>
      <c r="O12" s="146"/>
      <c r="P12" s="3"/>
      <c r="Q12" s="4"/>
      <c r="R12" s="3"/>
      <c r="S12" s="3"/>
      <c r="T12" s="3"/>
      <c r="U12" s="3"/>
      <c r="V12" s="3"/>
      <c r="W12" s="3"/>
      <c r="X12" s="3"/>
      <c r="Y12" s="3"/>
      <c r="Z12" s="3"/>
    </row>
    <row r="13" spans="1:26" ht="15.75" customHeight="1" x14ac:dyDescent="0.3">
      <c r="A13" s="4"/>
      <c r="B13" s="3"/>
      <c r="C13" s="335"/>
      <c r="D13" s="211"/>
      <c r="E13" s="336"/>
      <c r="F13" s="29"/>
      <c r="G13" s="147" t="s">
        <v>9</v>
      </c>
      <c r="H13" s="123"/>
      <c r="I13" s="123"/>
      <c r="J13" s="147" t="s">
        <v>184</v>
      </c>
      <c r="K13" s="29"/>
      <c r="L13" s="148" t="s">
        <v>185</v>
      </c>
      <c r="M13" s="146"/>
      <c r="N13" s="147"/>
      <c r="O13" s="146"/>
      <c r="P13" s="3"/>
      <c r="Q13" s="4"/>
      <c r="R13" s="3"/>
      <c r="S13" s="3"/>
      <c r="T13" s="3"/>
      <c r="U13" s="3"/>
      <c r="V13" s="3"/>
      <c r="W13" s="3"/>
      <c r="X13" s="3"/>
      <c r="Y13" s="3"/>
      <c r="Z13" s="3"/>
    </row>
    <row r="14" spans="1:26" ht="49.5" customHeight="1" x14ac:dyDescent="0.3">
      <c r="A14" s="4"/>
      <c r="B14" s="3"/>
      <c r="C14" s="327" t="s">
        <v>104</v>
      </c>
      <c r="D14" s="328"/>
      <c r="E14" s="329"/>
      <c r="F14" s="93"/>
      <c r="G14" s="149" t="s">
        <v>113</v>
      </c>
      <c r="H14" s="150"/>
      <c r="I14" s="150"/>
      <c r="J14" s="151" t="s">
        <v>334</v>
      </c>
      <c r="K14" s="93"/>
      <c r="L14" s="185" t="s">
        <v>335</v>
      </c>
      <c r="M14" s="153"/>
      <c r="N14" s="186" t="s">
        <v>336</v>
      </c>
      <c r="O14" s="153"/>
      <c r="P14" s="3"/>
      <c r="Q14" s="4"/>
      <c r="R14" s="3"/>
      <c r="S14" s="3"/>
      <c r="T14" s="3"/>
      <c r="U14" s="3"/>
      <c r="V14" s="3"/>
      <c r="W14" s="3"/>
      <c r="X14" s="3"/>
      <c r="Y14" s="3"/>
      <c r="Z14" s="3"/>
    </row>
    <row r="15" spans="1:26" ht="49.5" customHeight="1" x14ac:dyDescent="0.3">
      <c r="A15" s="4"/>
      <c r="B15" s="3"/>
      <c r="C15" s="330" t="s">
        <v>81</v>
      </c>
      <c r="D15" s="328"/>
      <c r="E15" s="329"/>
      <c r="F15" s="93"/>
      <c r="G15" s="155" t="s">
        <v>190</v>
      </c>
      <c r="H15" s="150"/>
      <c r="I15" s="150"/>
      <c r="J15" s="156" t="s">
        <v>337</v>
      </c>
      <c r="K15" s="93"/>
      <c r="L15" s="187" t="s">
        <v>338</v>
      </c>
      <c r="M15" s="153"/>
      <c r="N15" s="188" t="s">
        <v>339</v>
      </c>
      <c r="O15" s="153"/>
      <c r="P15" s="3"/>
      <c r="Q15" s="4"/>
      <c r="R15" s="3"/>
      <c r="S15" s="3"/>
      <c r="T15" s="3"/>
      <c r="U15" s="3"/>
      <c r="V15" s="3"/>
      <c r="W15" s="3"/>
      <c r="X15" s="3"/>
      <c r="Y15" s="3"/>
      <c r="Z15" s="3"/>
    </row>
    <row r="16" spans="1:26" ht="49.5" customHeight="1" x14ac:dyDescent="0.3">
      <c r="A16" s="4"/>
      <c r="B16" s="3"/>
      <c r="C16" s="327"/>
      <c r="D16" s="328"/>
      <c r="E16" s="329"/>
      <c r="F16" s="93"/>
      <c r="G16" s="159"/>
      <c r="H16" s="150"/>
      <c r="I16" s="150"/>
      <c r="J16" s="151"/>
      <c r="K16" s="93"/>
      <c r="L16" s="152"/>
      <c r="M16" s="153"/>
      <c r="N16" s="154"/>
      <c r="O16" s="153"/>
      <c r="P16" s="3"/>
      <c r="Q16" s="4"/>
      <c r="R16" s="3"/>
      <c r="S16" s="3"/>
      <c r="T16" s="3"/>
      <c r="U16" s="3"/>
      <c r="V16" s="3"/>
      <c r="W16" s="3"/>
      <c r="X16" s="3"/>
      <c r="Y16" s="3"/>
      <c r="Z16" s="3"/>
    </row>
    <row r="17" spans="1:26" ht="49.5" customHeight="1" x14ac:dyDescent="0.3">
      <c r="A17" s="4"/>
      <c r="B17" s="3"/>
      <c r="C17" s="330"/>
      <c r="D17" s="328"/>
      <c r="E17" s="329"/>
      <c r="F17" s="93"/>
      <c r="G17" s="155"/>
      <c r="H17" s="150"/>
      <c r="I17" s="150"/>
      <c r="J17" s="156"/>
      <c r="K17" s="93"/>
      <c r="L17" s="157"/>
      <c r="M17" s="153"/>
      <c r="N17" s="158"/>
      <c r="O17" s="153"/>
      <c r="P17" s="3"/>
      <c r="Q17" s="4"/>
      <c r="R17" s="3"/>
      <c r="S17" s="3"/>
      <c r="T17" s="3"/>
      <c r="U17" s="3"/>
      <c r="V17" s="3"/>
      <c r="W17" s="3"/>
      <c r="X17" s="3"/>
      <c r="Y17" s="3"/>
      <c r="Z17" s="3"/>
    </row>
    <row r="18" spans="1:26" ht="49.5" customHeight="1" x14ac:dyDescent="0.3">
      <c r="A18" s="4"/>
      <c r="B18" s="3"/>
      <c r="C18" s="327" t="s">
        <v>9</v>
      </c>
      <c r="D18" s="328"/>
      <c r="E18" s="329"/>
      <c r="F18" s="93"/>
      <c r="G18" s="159"/>
      <c r="H18" s="150"/>
      <c r="I18" s="150"/>
      <c r="J18" s="151"/>
      <c r="K18" s="93"/>
      <c r="L18" s="152"/>
      <c r="M18" s="153"/>
      <c r="N18" s="154"/>
      <c r="O18" s="153"/>
      <c r="P18" s="3"/>
      <c r="Q18" s="4"/>
      <c r="R18" s="3"/>
      <c r="S18" s="3"/>
      <c r="T18" s="3"/>
      <c r="U18" s="3"/>
      <c r="V18" s="3"/>
      <c r="W18" s="3"/>
      <c r="X18" s="3"/>
      <c r="Y18" s="3"/>
      <c r="Z18" s="3"/>
    </row>
    <row r="19" spans="1:26" ht="49.5" customHeight="1" x14ac:dyDescent="0.3">
      <c r="A19" s="4"/>
      <c r="B19" s="3"/>
      <c r="C19" s="330" t="s">
        <v>9</v>
      </c>
      <c r="D19" s="328"/>
      <c r="E19" s="329"/>
      <c r="F19" s="93"/>
      <c r="G19" s="155"/>
      <c r="H19" s="150"/>
      <c r="I19" s="150"/>
      <c r="J19" s="156"/>
      <c r="K19" s="93"/>
      <c r="L19" s="157"/>
      <c r="M19" s="153"/>
      <c r="N19" s="158"/>
      <c r="O19" s="153"/>
      <c r="P19" s="3"/>
      <c r="Q19" s="4"/>
      <c r="R19" s="3"/>
      <c r="S19" s="3"/>
      <c r="T19" s="3"/>
      <c r="U19" s="3"/>
      <c r="V19" s="3"/>
      <c r="W19" s="3"/>
      <c r="X19" s="3"/>
      <c r="Y19" s="3"/>
      <c r="Z19" s="3"/>
    </row>
    <row r="20" spans="1:26" ht="49.5" customHeight="1" x14ac:dyDescent="0.3">
      <c r="A20" s="4"/>
      <c r="B20" s="3"/>
      <c r="C20" s="331" t="s">
        <v>9</v>
      </c>
      <c r="D20" s="328"/>
      <c r="E20" s="329"/>
      <c r="F20" s="93"/>
      <c r="G20" s="151"/>
      <c r="H20" s="150"/>
      <c r="I20" s="150"/>
      <c r="J20" s="151"/>
      <c r="K20" s="93"/>
      <c r="L20" s="152"/>
      <c r="M20" s="153"/>
      <c r="N20" s="154"/>
      <c r="O20" s="153"/>
      <c r="P20" s="3"/>
      <c r="Q20" s="4"/>
      <c r="R20" s="3"/>
      <c r="S20" s="3"/>
      <c r="T20" s="3"/>
      <c r="U20" s="3"/>
      <c r="V20" s="3"/>
      <c r="W20" s="3"/>
      <c r="X20" s="3"/>
      <c r="Y20" s="3"/>
      <c r="Z20" s="3"/>
    </row>
    <row r="21" spans="1:26" ht="49.5" customHeight="1" x14ac:dyDescent="0.3">
      <c r="A21" s="4"/>
      <c r="B21" s="3"/>
      <c r="C21" s="337"/>
      <c r="D21" s="328"/>
      <c r="E21" s="329"/>
      <c r="F21" s="93"/>
      <c r="G21" s="156"/>
      <c r="H21" s="150"/>
      <c r="I21" s="150"/>
      <c r="J21" s="156"/>
      <c r="K21" s="93"/>
      <c r="L21" s="157"/>
      <c r="M21" s="153"/>
      <c r="N21" s="158"/>
      <c r="O21" s="153"/>
      <c r="P21" s="3"/>
      <c r="Q21" s="4"/>
      <c r="R21" s="3"/>
      <c r="S21" s="3"/>
      <c r="T21" s="3"/>
      <c r="U21" s="3"/>
      <c r="V21" s="3"/>
      <c r="W21" s="3"/>
      <c r="X21" s="3"/>
      <c r="Y21" s="3"/>
      <c r="Z21" s="3"/>
    </row>
    <row r="22" spans="1:26" ht="49.5" customHeight="1" x14ac:dyDescent="0.3">
      <c r="A22" s="4"/>
      <c r="B22" s="3"/>
      <c r="C22" s="327" t="s">
        <v>9</v>
      </c>
      <c r="D22" s="328"/>
      <c r="E22" s="329"/>
      <c r="F22" s="93"/>
      <c r="G22" s="151"/>
      <c r="H22" s="150"/>
      <c r="I22" s="150"/>
      <c r="J22" s="151"/>
      <c r="K22" s="93"/>
      <c r="L22" s="152"/>
      <c r="M22" s="153"/>
      <c r="N22" s="154"/>
      <c r="O22" s="153"/>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38"/>
      <c r="D25" s="208"/>
      <c r="E25" s="208"/>
      <c r="F25" s="3"/>
      <c r="G25" s="339"/>
      <c r="H25" s="208"/>
      <c r="I25" s="208"/>
      <c r="J25" s="208"/>
      <c r="K25" s="3"/>
      <c r="L25" s="114"/>
      <c r="M25" s="114"/>
      <c r="N25" s="160"/>
      <c r="O25" s="114"/>
      <c r="P25" s="3"/>
      <c r="Q25" s="3"/>
      <c r="R25" s="3"/>
      <c r="S25" s="3"/>
      <c r="T25" s="3"/>
      <c r="U25" s="3"/>
      <c r="V25" s="3"/>
      <c r="W25" s="3"/>
      <c r="X25" s="3"/>
      <c r="Y25" s="3"/>
      <c r="Z25" s="3"/>
    </row>
    <row r="26" spans="1:26" ht="39.75" customHeight="1" x14ac:dyDescent="0.3">
      <c r="A26" s="275" t="s">
        <v>187</v>
      </c>
      <c r="B26" s="200"/>
      <c r="C26" s="200"/>
      <c r="D26" s="200"/>
      <c r="E26" s="200"/>
      <c r="F26" s="200"/>
      <c r="G26" s="200"/>
      <c r="H26" s="200"/>
      <c r="I26" s="200"/>
      <c r="J26" s="200"/>
      <c r="K26" s="200"/>
      <c r="L26" s="200"/>
      <c r="M26" s="200"/>
      <c r="N26" s="200"/>
      <c r="O26" s="200"/>
      <c r="P26" s="200"/>
      <c r="Q26" s="201"/>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13" t="s">
        <v>188</v>
      </c>
      <c r="D28" s="200"/>
      <c r="E28" s="200"/>
      <c r="F28" s="200"/>
      <c r="G28" s="200"/>
      <c r="H28" s="200"/>
      <c r="I28" s="200"/>
      <c r="J28" s="200"/>
      <c r="K28" s="200"/>
      <c r="L28" s="200"/>
      <c r="M28" s="200"/>
      <c r="N28" s="200"/>
      <c r="O28" s="201"/>
      <c r="P28" s="69"/>
      <c r="Q28" s="68"/>
      <c r="R28" s="3"/>
      <c r="S28" s="3"/>
      <c r="T28" s="3"/>
      <c r="U28" s="3"/>
      <c r="V28" s="3"/>
      <c r="W28" s="3"/>
      <c r="X28" s="3"/>
      <c r="Y28" s="3"/>
      <c r="Z28" s="3"/>
    </row>
    <row r="29" spans="1:26" ht="9.75" customHeight="1" x14ac:dyDescent="0.3">
      <c r="A29" s="4"/>
      <c r="B29" s="3"/>
      <c r="C29" s="3" t="s">
        <v>9</v>
      </c>
      <c r="D29" s="3"/>
      <c r="E29" s="3"/>
      <c r="F29" s="3"/>
      <c r="G29" s="3"/>
      <c r="H29" s="3" t="s">
        <v>9</v>
      </c>
      <c r="I29" s="3"/>
      <c r="J29" s="3"/>
      <c r="K29" s="3"/>
      <c r="L29" s="3"/>
      <c r="M29" s="3"/>
      <c r="N29" s="3"/>
      <c r="O29" s="3"/>
      <c r="P29" s="3"/>
      <c r="Q29" s="4"/>
      <c r="R29" s="3"/>
      <c r="S29" s="3"/>
      <c r="T29" s="3"/>
      <c r="U29" s="3"/>
      <c r="V29" s="3"/>
      <c r="W29" s="3"/>
      <c r="X29" s="3"/>
      <c r="Y29" s="3"/>
      <c r="Z29" s="3"/>
    </row>
    <row r="30" spans="1:26" ht="300" customHeight="1" x14ac:dyDescent="0.3">
      <c r="A30" s="4"/>
      <c r="B30" s="3"/>
      <c r="C30" s="252" t="s">
        <v>333</v>
      </c>
      <c r="D30" s="227"/>
      <c r="E30" s="227"/>
      <c r="F30" s="227"/>
      <c r="G30" s="227"/>
      <c r="H30" s="227"/>
      <c r="I30" s="227"/>
      <c r="J30" s="227"/>
      <c r="K30" s="227"/>
      <c r="L30" s="227"/>
      <c r="M30" s="227"/>
      <c r="N30" s="227"/>
      <c r="O30" s="307"/>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9</v>
      </c>
      <c r="E33" s="3"/>
      <c r="F33" s="3"/>
      <c r="G33" s="65" t="s">
        <v>189</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9</v>
      </c>
      <c r="D34" s="102" t="s">
        <v>9</v>
      </c>
      <c r="E34" s="3"/>
      <c r="F34" s="3"/>
      <c r="G34" s="161" t="s">
        <v>186</v>
      </c>
      <c r="H34" s="3"/>
      <c r="I34" s="162"/>
      <c r="J34" s="162"/>
      <c r="K34" s="3"/>
      <c r="L34" s="3"/>
      <c r="M34" s="3"/>
      <c r="N34" s="3"/>
      <c r="O34" s="3"/>
      <c r="P34" s="3"/>
      <c r="Q34" s="3"/>
      <c r="R34" s="3"/>
      <c r="S34" s="3"/>
      <c r="T34" s="3"/>
      <c r="U34" s="3"/>
      <c r="V34" s="3"/>
      <c r="W34" s="3"/>
      <c r="X34" s="3"/>
      <c r="Y34" s="3"/>
      <c r="Z34" s="3"/>
    </row>
    <row r="35" spans="1:26" ht="12.75" customHeight="1" x14ac:dyDescent="0.3">
      <c r="A35" s="3"/>
      <c r="B35" s="3"/>
      <c r="C35" s="3" t="s">
        <v>9</v>
      </c>
      <c r="D35" s="102" t="s">
        <v>9</v>
      </c>
      <c r="E35" s="3"/>
      <c r="F35" s="3"/>
      <c r="G35" s="161" t="s">
        <v>16</v>
      </c>
      <c r="H35" s="3"/>
      <c r="I35" s="162"/>
      <c r="J35" s="162"/>
      <c r="K35" s="3"/>
      <c r="L35" s="3"/>
      <c r="M35" s="3"/>
      <c r="N35" s="3"/>
      <c r="O35" s="3"/>
      <c r="P35" s="3"/>
      <c r="Q35" s="3"/>
      <c r="R35" s="3"/>
      <c r="S35" s="3"/>
      <c r="T35" s="3"/>
      <c r="U35" s="3"/>
      <c r="V35" s="3"/>
      <c r="W35" s="3"/>
      <c r="X35" s="3"/>
      <c r="Y35" s="3"/>
      <c r="Z35" s="3"/>
    </row>
    <row r="36" spans="1:26" ht="12.75" customHeight="1" x14ac:dyDescent="0.3">
      <c r="A36" s="3"/>
      <c r="B36" s="3"/>
      <c r="C36" s="3" t="s">
        <v>9</v>
      </c>
      <c r="D36" s="102" t="s">
        <v>9</v>
      </c>
      <c r="E36" s="3"/>
      <c r="F36" s="3"/>
      <c r="G36" s="161" t="s">
        <v>17</v>
      </c>
      <c r="H36" s="3"/>
      <c r="I36" s="162"/>
      <c r="J36" s="162"/>
      <c r="K36" s="3"/>
      <c r="L36" s="3"/>
      <c r="M36" s="3"/>
      <c r="N36" s="3"/>
      <c r="O36" s="3"/>
      <c r="P36" s="3"/>
      <c r="Q36" s="3"/>
      <c r="R36" s="3"/>
      <c r="S36" s="3"/>
      <c r="T36" s="3"/>
      <c r="U36" s="3"/>
      <c r="V36" s="3"/>
      <c r="W36" s="3"/>
      <c r="X36" s="3"/>
      <c r="Y36" s="3"/>
      <c r="Z36" s="3"/>
    </row>
    <row r="37" spans="1:26" ht="12.75" customHeight="1" x14ac:dyDescent="0.3">
      <c r="A37" s="3"/>
      <c r="B37" s="3"/>
      <c r="C37" s="3" t="s">
        <v>9</v>
      </c>
      <c r="D37" s="102" t="s">
        <v>9</v>
      </c>
      <c r="E37" s="3"/>
      <c r="F37" s="3"/>
      <c r="G37" s="161" t="s">
        <v>18</v>
      </c>
      <c r="H37" s="3"/>
      <c r="I37" s="162"/>
      <c r="J37" s="162"/>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61" t="s">
        <v>19</v>
      </c>
      <c r="H38" s="3"/>
      <c r="I38" s="162"/>
      <c r="J38" s="162"/>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61" t="s">
        <v>113</v>
      </c>
      <c r="H39" s="3"/>
      <c r="I39" s="162"/>
      <c r="J39" s="162"/>
      <c r="K39" s="3"/>
      <c r="L39" s="3"/>
      <c r="M39" s="3"/>
      <c r="N39" s="3"/>
      <c r="O39" s="3"/>
      <c r="P39" s="3"/>
      <c r="Q39" s="3"/>
      <c r="R39" s="3"/>
      <c r="S39" s="3"/>
      <c r="T39" s="3"/>
      <c r="U39" s="3"/>
      <c r="V39" s="3"/>
      <c r="W39" s="3"/>
      <c r="X39" s="3"/>
      <c r="Y39" s="3"/>
      <c r="Z39" s="3"/>
    </row>
    <row r="40" spans="1:26" ht="12.75" customHeight="1" x14ac:dyDescent="0.3">
      <c r="A40" s="3"/>
      <c r="B40" s="3"/>
      <c r="C40" s="103" t="s">
        <v>9</v>
      </c>
      <c r="D40" s="3"/>
      <c r="E40" s="3"/>
      <c r="F40" s="3"/>
      <c r="G40" s="161" t="s">
        <v>190</v>
      </c>
      <c r="H40" s="3"/>
      <c r="I40" s="162"/>
      <c r="J40" s="162"/>
      <c r="K40" s="3"/>
      <c r="L40" s="3"/>
      <c r="M40" s="3"/>
      <c r="N40" s="3"/>
      <c r="O40" s="3"/>
      <c r="P40" s="3"/>
      <c r="Q40" s="3"/>
      <c r="R40" s="3"/>
      <c r="S40" s="3"/>
      <c r="T40" s="3"/>
      <c r="U40" s="3"/>
      <c r="V40" s="3"/>
      <c r="W40" s="3"/>
      <c r="X40" s="3"/>
      <c r="Y40" s="3"/>
      <c r="Z40" s="3"/>
    </row>
    <row r="41" spans="1:26" ht="12.75" customHeight="1" x14ac:dyDescent="0.3">
      <c r="A41" s="3"/>
      <c r="B41" s="3"/>
      <c r="C41" s="3" t="s">
        <v>9</v>
      </c>
      <c r="D41" s="3"/>
      <c r="E41" s="3"/>
      <c r="F41" s="3"/>
      <c r="G41" s="161" t="s">
        <v>115</v>
      </c>
      <c r="H41" s="3"/>
      <c r="I41" s="162"/>
      <c r="J41" s="162"/>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61" t="s">
        <v>191</v>
      </c>
      <c r="H42" s="3"/>
      <c r="I42" s="162"/>
      <c r="J42" s="162"/>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61" t="s">
        <v>171</v>
      </c>
      <c r="H43" s="3"/>
      <c r="I43" s="162"/>
      <c r="J43" s="162"/>
      <c r="K43" s="3"/>
      <c r="L43" s="3"/>
      <c r="M43" s="3"/>
      <c r="N43" s="3"/>
      <c r="O43" s="3"/>
      <c r="P43" s="3"/>
      <c r="Q43" s="3"/>
      <c r="R43" s="3"/>
      <c r="S43" s="3"/>
      <c r="T43" s="3"/>
      <c r="U43" s="3"/>
      <c r="V43" s="3"/>
      <c r="W43" s="3"/>
      <c r="X43" s="3"/>
      <c r="Y43" s="3"/>
      <c r="Z43" s="3"/>
    </row>
    <row r="44" spans="1:26" ht="12.75" customHeight="1" x14ac:dyDescent="0.3">
      <c r="A44" s="3"/>
      <c r="B44" s="3"/>
      <c r="C44" s="3" t="s">
        <v>9</v>
      </c>
      <c r="D44" s="3"/>
      <c r="E44" s="3"/>
      <c r="F44" s="3"/>
      <c r="G44" s="161" t="s">
        <v>25</v>
      </c>
      <c r="H44" s="3"/>
      <c r="I44" s="162"/>
      <c r="J44" s="162"/>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2"/>
      <c r="J45" s="162"/>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2"/>
      <c r="J46" s="162"/>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2"/>
      <c r="J47" s="162"/>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2"/>
      <c r="J48" s="162"/>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M14:M22 O14:O22 L25:M25 O25"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zoomScale="69" zoomScaleNormal="69" workbookViewId="0">
      <selection activeCell="G15" sqref="G15"/>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4" t="s">
        <v>192</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3" t="s">
        <v>9</v>
      </c>
      <c r="B3" s="341"/>
      <c r="C3" s="205"/>
      <c r="D3" s="206"/>
      <c r="E3" s="6"/>
      <c r="F3" s="6"/>
      <c r="G3" s="7"/>
      <c r="H3" s="7"/>
      <c r="I3" s="7"/>
      <c r="J3" s="7"/>
      <c r="K3" s="7"/>
      <c r="L3" s="7"/>
      <c r="M3" s="7"/>
      <c r="N3" s="7"/>
      <c r="O3" s="7"/>
      <c r="P3" s="3"/>
      <c r="Q3" s="3"/>
      <c r="R3" s="3"/>
      <c r="S3" s="3"/>
      <c r="T3" s="3"/>
      <c r="U3" s="3"/>
      <c r="V3" s="3"/>
      <c r="W3" s="3"/>
      <c r="X3" s="3"/>
      <c r="Y3" s="3"/>
      <c r="Z3" s="3"/>
    </row>
    <row r="4" spans="1:26" ht="31.5" customHeight="1" x14ac:dyDescent="0.3">
      <c r="A4" s="163"/>
      <c r="B4" s="207"/>
      <c r="C4" s="208"/>
      <c r="D4" s="209"/>
      <c r="E4" s="301" t="str">
        <f>'1. Résumé'!E6</f>
        <v>FKT 03/18 Avaradrova</v>
      </c>
      <c r="F4" s="200"/>
      <c r="G4" s="201"/>
      <c r="H4" s="164"/>
      <c r="I4" s="301" t="str">
        <f>'1. Résumé'!E10</f>
        <v>Société nationale : Croix-Rouge Malagasy</v>
      </c>
      <c r="J4" s="200"/>
      <c r="K4" s="201"/>
      <c r="L4" s="164"/>
      <c r="M4" s="164"/>
      <c r="N4" s="7"/>
      <c r="O4" s="7"/>
      <c r="P4" s="3"/>
      <c r="Q4" s="3"/>
      <c r="R4" s="3"/>
      <c r="S4" s="3"/>
      <c r="T4" s="3"/>
      <c r="U4" s="3"/>
      <c r="V4" s="3"/>
      <c r="W4" s="3"/>
      <c r="X4" s="3"/>
      <c r="Y4" s="3"/>
      <c r="Z4" s="3"/>
    </row>
    <row r="5" spans="1:26" ht="9.75" customHeight="1" x14ac:dyDescent="0.3">
      <c r="A5" s="163"/>
      <c r="B5" s="210"/>
      <c r="C5" s="211"/>
      <c r="D5" s="212"/>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75" t="s">
        <v>193</v>
      </c>
      <c r="B7" s="200"/>
      <c r="C7" s="200"/>
      <c r="D7" s="200"/>
      <c r="E7" s="200"/>
      <c r="F7" s="200"/>
      <c r="G7" s="200"/>
      <c r="H7" s="200"/>
      <c r="I7" s="200"/>
      <c r="J7" s="200"/>
      <c r="K7" s="200"/>
      <c r="L7" s="200"/>
      <c r="M7" s="200"/>
      <c r="N7" s="200"/>
      <c r="O7" s="200"/>
      <c r="P7" s="200"/>
      <c r="Q7" s="201"/>
      <c r="R7" s="3"/>
      <c r="S7" s="3"/>
      <c r="T7" s="3"/>
      <c r="U7" s="3" t="s">
        <v>9</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02" t="s">
        <v>194</v>
      </c>
      <c r="D9" s="200"/>
      <c r="E9" s="200"/>
      <c r="F9" s="200"/>
      <c r="G9" s="200"/>
      <c r="H9" s="200"/>
      <c r="I9" s="200"/>
      <c r="J9" s="200"/>
      <c r="K9" s="200"/>
      <c r="L9" s="200"/>
      <c r="M9" s="200"/>
      <c r="N9" s="200"/>
      <c r="O9" s="201"/>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2" customHeight="1" x14ac:dyDescent="0.3">
      <c r="A11" s="4"/>
      <c r="B11" s="3"/>
      <c r="C11" s="165" t="s">
        <v>195</v>
      </c>
      <c r="D11" s="3"/>
      <c r="E11" s="165" t="s">
        <v>196</v>
      </c>
      <c r="F11" s="3"/>
      <c r="G11" s="165" t="s">
        <v>197</v>
      </c>
      <c r="H11" s="3"/>
      <c r="I11" s="165" t="s">
        <v>198</v>
      </c>
      <c r="J11" s="3"/>
      <c r="K11" s="165" t="s">
        <v>199</v>
      </c>
      <c r="L11" s="3"/>
      <c r="M11" s="165" t="s">
        <v>200</v>
      </c>
      <c r="N11" s="3"/>
      <c r="O11" s="165" t="s">
        <v>201</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60" customHeight="1" x14ac:dyDescent="0.3">
      <c r="A13" s="4"/>
      <c r="B13" s="3"/>
      <c r="C13" s="166" t="s">
        <v>225</v>
      </c>
      <c r="D13" s="3"/>
      <c r="E13" s="167" t="s">
        <v>228</v>
      </c>
      <c r="F13" s="3"/>
      <c r="G13" s="167" t="s">
        <v>341</v>
      </c>
      <c r="H13" s="3"/>
      <c r="I13" s="167" t="s">
        <v>252</v>
      </c>
      <c r="J13" s="3"/>
      <c r="K13" s="167" t="s">
        <v>232</v>
      </c>
      <c r="L13" s="3"/>
      <c r="M13" s="167" t="s">
        <v>229</v>
      </c>
      <c r="N13" s="3"/>
      <c r="O13" s="168" t="s">
        <v>230</v>
      </c>
      <c r="P13" s="3"/>
      <c r="Q13" s="4"/>
      <c r="R13" s="3"/>
      <c r="S13" s="3"/>
      <c r="T13" s="3"/>
      <c r="U13" s="3"/>
      <c r="V13" s="3"/>
      <c r="W13" s="3"/>
      <c r="X13" s="3"/>
      <c r="Y13" s="3"/>
      <c r="Z13" s="3"/>
    </row>
    <row r="14" spans="1:26" ht="9.75" customHeight="1" x14ac:dyDescent="0.3">
      <c r="A14" s="4"/>
      <c r="B14" s="3"/>
      <c r="C14" s="3"/>
      <c r="D14" s="3"/>
      <c r="E14" s="3"/>
      <c r="F14" s="3"/>
      <c r="G14" s="3"/>
      <c r="H14" s="3"/>
      <c r="I14" s="3"/>
      <c r="J14" s="3"/>
      <c r="K14" s="3"/>
      <c r="L14" s="3"/>
      <c r="M14" s="3"/>
      <c r="N14" s="3"/>
      <c r="O14" s="3"/>
      <c r="P14" s="3"/>
      <c r="Q14" s="4"/>
      <c r="R14" s="3"/>
      <c r="S14" s="3"/>
      <c r="T14" s="3"/>
      <c r="U14" s="3"/>
      <c r="V14" s="3"/>
      <c r="W14" s="3"/>
      <c r="X14" s="3"/>
      <c r="Y14" s="3"/>
      <c r="Z14" s="3"/>
    </row>
    <row r="15" spans="1:26" ht="60" customHeight="1" x14ac:dyDescent="0.3">
      <c r="A15" s="4"/>
      <c r="B15" s="3"/>
      <c r="C15" s="166" t="s">
        <v>226</v>
      </c>
      <c r="D15" s="3"/>
      <c r="E15" s="167" t="s">
        <v>231</v>
      </c>
      <c r="F15" s="3"/>
      <c r="G15" s="167" t="s">
        <v>340</v>
      </c>
      <c r="H15" s="3"/>
      <c r="I15" s="167" t="s">
        <v>252</v>
      </c>
      <c r="J15" s="3"/>
      <c r="K15" s="167" t="s">
        <v>232</v>
      </c>
      <c r="L15" s="3"/>
      <c r="M15" s="167" t="s">
        <v>254</v>
      </c>
      <c r="N15" s="3"/>
      <c r="O15" s="167" t="s">
        <v>233</v>
      </c>
      <c r="P15" s="3"/>
      <c r="Q15" s="4"/>
      <c r="R15" s="3"/>
      <c r="S15" s="3"/>
      <c r="T15" s="3"/>
      <c r="U15" s="3"/>
      <c r="V15" s="3"/>
      <c r="W15" s="3"/>
      <c r="X15" s="3"/>
      <c r="Y15" s="3"/>
      <c r="Z15" s="3"/>
    </row>
    <row r="16" spans="1:26" ht="9.75" customHeight="1" x14ac:dyDescent="0.3">
      <c r="A16" s="4"/>
      <c r="B16" s="3"/>
      <c r="C16" s="3"/>
      <c r="D16" s="3"/>
      <c r="E16" s="3"/>
      <c r="F16" s="3"/>
      <c r="G16" s="3"/>
      <c r="H16" s="3"/>
      <c r="I16" s="3"/>
      <c r="J16" s="3"/>
      <c r="K16" s="3"/>
      <c r="L16" s="3"/>
      <c r="M16" s="3"/>
      <c r="N16" s="3"/>
      <c r="O16" s="3"/>
      <c r="P16" s="3"/>
      <c r="Q16" s="4"/>
      <c r="R16" s="3"/>
      <c r="S16" s="3"/>
      <c r="T16" s="3"/>
      <c r="U16" s="3"/>
      <c r="V16" s="3"/>
      <c r="W16" s="3"/>
      <c r="X16" s="3"/>
      <c r="Y16" s="3"/>
      <c r="Z16" s="3"/>
    </row>
    <row r="17" spans="1:26" ht="60" customHeight="1" x14ac:dyDescent="0.3">
      <c r="A17" s="4"/>
      <c r="B17" s="3"/>
      <c r="C17" s="166" t="s">
        <v>227</v>
      </c>
      <c r="D17" s="3"/>
      <c r="E17" s="167" t="s">
        <v>251</v>
      </c>
      <c r="F17" s="3"/>
      <c r="G17" s="167" t="s">
        <v>342</v>
      </c>
      <c r="H17" s="3"/>
      <c r="I17" s="167" t="s">
        <v>234</v>
      </c>
      <c r="J17" s="3"/>
      <c r="K17" s="167" t="s">
        <v>232</v>
      </c>
      <c r="L17" s="3"/>
      <c r="M17" s="167" t="s">
        <v>253</v>
      </c>
      <c r="N17" s="3"/>
      <c r="O17" s="167" t="s">
        <v>235</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6"/>
      <c r="D19" s="3"/>
      <c r="E19" s="167"/>
      <c r="F19" s="3"/>
      <c r="G19" s="167"/>
      <c r="H19" s="3"/>
      <c r="I19" s="167"/>
      <c r="J19" s="3"/>
      <c r="K19" s="167"/>
      <c r="L19" s="3"/>
      <c r="M19" s="167"/>
      <c r="N19" s="3"/>
      <c r="O19" s="167"/>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6"/>
      <c r="D21" s="3"/>
      <c r="E21" s="167"/>
      <c r="F21" s="3"/>
      <c r="G21" s="167"/>
      <c r="H21" s="3"/>
      <c r="I21" s="167"/>
      <c r="J21" s="3"/>
      <c r="K21" s="167"/>
      <c r="L21" s="3"/>
      <c r="M21" s="167"/>
      <c r="N21" s="3"/>
      <c r="O21" s="167"/>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6"/>
      <c r="D23" s="3"/>
      <c r="E23" s="167"/>
      <c r="F23" s="3"/>
      <c r="G23" s="167"/>
      <c r="H23" s="3"/>
      <c r="I23" s="167"/>
      <c r="J23" s="3"/>
      <c r="K23" s="167"/>
      <c r="L23" s="3"/>
      <c r="M23" s="167"/>
      <c r="N23" s="3"/>
      <c r="O23" s="167"/>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6"/>
      <c r="D25" s="3"/>
      <c r="E25" s="167"/>
      <c r="F25" s="3"/>
      <c r="G25" s="167"/>
      <c r="H25" s="3"/>
      <c r="I25" s="167"/>
      <c r="J25" s="3"/>
      <c r="K25" s="167"/>
      <c r="L25" s="3"/>
      <c r="M25" s="167"/>
      <c r="N25" s="3"/>
      <c r="O25" s="167"/>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6"/>
      <c r="D27" s="3"/>
      <c r="E27" s="167"/>
      <c r="F27" s="3"/>
      <c r="G27" s="167"/>
      <c r="H27" s="3"/>
      <c r="I27" s="167"/>
      <c r="J27" s="3"/>
      <c r="K27" s="167"/>
      <c r="L27" s="3"/>
      <c r="M27" s="167"/>
      <c r="N27" s="3"/>
      <c r="O27" s="167"/>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6"/>
      <c r="D29" s="3"/>
      <c r="E29" s="167"/>
      <c r="F29" s="3"/>
      <c r="G29" s="167"/>
      <c r="H29" s="3"/>
      <c r="I29" s="167"/>
      <c r="J29" s="3"/>
      <c r="K29" s="167"/>
      <c r="L29" s="3"/>
      <c r="M29" s="167"/>
      <c r="N29" s="3"/>
      <c r="O29" s="167"/>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6"/>
      <c r="D31" s="3"/>
      <c r="E31" s="167"/>
      <c r="F31" s="3"/>
      <c r="G31" s="167"/>
      <c r="H31" s="3"/>
      <c r="I31" s="167"/>
      <c r="J31" s="3"/>
      <c r="K31" s="167"/>
      <c r="L31" s="3"/>
      <c r="M31" s="167"/>
      <c r="N31" s="3"/>
      <c r="O31" s="167"/>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40" t="s">
        <v>202</v>
      </c>
      <c r="D33" s="200"/>
      <c r="E33" s="200"/>
      <c r="F33" s="200"/>
      <c r="G33" s="200"/>
      <c r="H33" s="200"/>
      <c r="I33" s="200"/>
      <c r="J33" s="200"/>
      <c r="K33" s="200"/>
      <c r="L33" s="200"/>
      <c r="M33" s="200"/>
      <c r="N33" s="200"/>
      <c r="O33" s="201"/>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9" t="s">
        <v>203</v>
      </c>
      <c r="D35" s="169"/>
      <c r="E35" s="169" t="s">
        <v>204</v>
      </c>
      <c r="F35" s="169"/>
      <c r="G35" s="169" t="s">
        <v>205</v>
      </c>
      <c r="H35" s="169"/>
      <c r="I35" s="169" t="s">
        <v>206</v>
      </c>
      <c r="J35" s="169"/>
      <c r="K35" s="3"/>
      <c r="L35" s="3"/>
      <c r="M35" s="3"/>
      <c r="N35" s="3"/>
      <c r="O35" s="3"/>
      <c r="P35" s="3"/>
      <c r="Q35" s="4"/>
      <c r="R35" s="3"/>
      <c r="S35" s="3"/>
      <c r="T35" s="3"/>
      <c r="U35" s="3"/>
      <c r="V35" s="3"/>
      <c r="W35" s="3"/>
      <c r="X35" s="3"/>
      <c r="Y35" s="3"/>
      <c r="Z35" s="3"/>
    </row>
    <row r="36" spans="1:26" ht="39.75" customHeight="1" x14ac:dyDescent="0.3">
      <c r="A36" s="4"/>
      <c r="B36" s="3"/>
      <c r="C36" s="166"/>
      <c r="D36" s="3"/>
      <c r="E36" s="166" t="s">
        <v>270</v>
      </c>
      <c r="F36" s="3"/>
      <c r="G36" s="166"/>
      <c r="H36" s="3"/>
      <c r="I36" s="166" t="s">
        <v>269</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1. Résumé</vt:lpstr>
      <vt:lpstr>2. Contexte</vt:lpstr>
      <vt:lpstr>3. Dangers</vt:lpstr>
      <vt:lpstr>4. Vulnérabilité</vt:lpstr>
      <vt:lpstr>5. Capacité</vt:lpstr>
      <vt:lpstr>6. Cohésion, Inclusion, Connect</vt:lpstr>
      <vt:lpstr>7. Risque</vt:lpstr>
      <vt:lpstr>8. Analyse</vt:lpstr>
      <vt:lpstr>9. Plan d’action</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2025-02-13T00:21:24Z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