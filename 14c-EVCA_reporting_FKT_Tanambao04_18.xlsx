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madagascarredcross-my.sharepoint.com/personal/jean_chry_crmada_org/Documents/Bureau/DOC JC PMER-MENABE/pmer DOC JC/RAPPORT EVCA/RAPPORT EVCA par FKT/"/>
    </mc:Choice>
  </mc:AlternateContent>
  <xr:revisionPtr revIDLastSave="1" documentId="13_ncr:1_{5DBE20A5-8886-46F7-BD31-434A7A45FAD7}" xr6:coauthVersionLast="47" xr6:coauthVersionMax="47" xr10:uidLastSave="{2D902F63-E5EE-464B-A9AA-5A708A6AE812}"/>
  <bookViews>
    <workbookView xWindow="-108" yWindow="-108" windowWidth="23256" windowHeight="12456" xr2:uid="{00000000-000D-0000-FFFF-FFFF00000000}"/>
  </bookViews>
  <sheets>
    <sheet name="1. Résumé" sheetId="2" r:id="rId1"/>
    <sheet name="2. Contexte" sheetId="3" r:id="rId2"/>
    <sheet name="3. Dangers" sheetId="4" r:id="rId3"/>
    <sheet name="4. Vulnérabilité" sheetId="5" r:id="rId4"/>
    <sheet name="5. Capacité" sheetId="6" r:id="rId5"/>
    <sheet name="6. Cohésion, Inclusion, Connect" sheetId="7" r:id="rId6"/>
    <sheet name="7. Risque" sheetId="8" r:id="rId7"/>
    <sheet name="8. Analyse" sheetId="9" r:id="rId8"/>
    <sheet name="9. Plan d’action" sheetId="10" r:id="rId9"/>
  </sheets>
  <externalReferences>
    <externalReference r:id="rId10"/>
  </externalReferences>
  <definedNames>
    <definedName name="Drop_down2" localSheetId="5">'8. Analyse'!#REF!</definedName>
    <definedName name="Drop_down2">'8. Analyse'!#REF!</definedName>
    <definedName name="Hazards">'3. Dangers'!$AA$2:$AA$5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sSP6BODShcqBcZcClCx8Fg7L1bQu6EQPCtyBShcUkoE="/>
    </ext>
  </extLst>
</workbook>
</file>

<file path=xl/calcChain.xml><?xml version="1.0" encoding="utf-8"?>
<calcChain xmlns="http://schemas.openxmlformats.org/spreadsheetml/2006/main">
  <c r="V64" i="5" l="1"/>
  <c r="C67" i="2" l="1"/>
  <c r="E61" i="2"/>
  <c r="E6" i="3"/>
  <c r="C42" i="8" l="1"/>
  <c r="C27" i="8"/>
  <c r="C12" i="8"/>
  <c r="C44" i="6"/>
  <c r="C30" i="6"/>
  <c r="C16" i="6"/>
  <c r="C54" i="5"/>
  <c r="C40" i="5"/>
  <c r="C24" i="5"/>
  <c r="C53" i="2" l="1"/>
  <c r="I4" i="10"/>
  <c r="E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4" i="6"/>
  <c r="J52" i="8" s="1"/>
  <c r="P53" i="6"/>
  <c r="J51" i="8" s="1"/>
  <c r="P52" i="6"/>
  <c r="J50" i="8" s="1"/>
  <c r="P51" i="6"/>
  <c r="J49" i="8" s="1"/>
  <c r="P50" i="6"/>
  <c r="J48" i="8" s="1"/>
  <c r="P49" i="6"/>
  <c r="J47" i="8" s="1"/>
  <c r="P48" i="6"/>
  <c r="J46" i="8" s="1"/>
  <c r="P47" i="6"/>
  <c r="J45" i="8" s="1"/>
  <c r="M41" i="6"/>
  <c r="P41" i="6" s="1"/>
  <c r="P40" i="6"/>
  <c r="J37" i="8" s="1"/>
  <c r="P39" i="6"/>
  <c r="J36" i="8" s="1"/>
  <c r="P38" i="6"/>
  <c r="J35" i="8" s="1"/>
  <c r="P37" i="6"/>
  <c r="J34" i="8" s="1"/>
  <c r="P36" i="6"/>
  <c r="J33" i="8" s="1"/>
  <c r="P35" i="6"/>
  <c r="J32" i="8" s="1"/>
  <c r="P34" i="6"/>
  <c r="J31" i="8" s="1"/>
  <c r="P33" i="6"/>
  <c r="J30" i="8" s="1"/>
  <c r="M28" i="6"/>
  <c r="P28" i="6" s="1"/>
  <c r="G28" i="6"/>
  <c r="G42" i="6" s="1"/>
  <c r="G56" i="6" s="1"/>
  <c r="P27" i="6"/>
  <c r="M27" i="6"/>
  <c r="G27" i="6"/>
  <c r="G41" i="6" s="1"/>
  <c r="G55" i="6" s="1"/>
  <c r="P26" i="6"/>
  <c r="J22" i="8" s="1"/>
  <c r="P25" i="6"/>
  <c r="J21" i="8" s="1"/>
  <c r="P24" i="6"/>
  <c r="J20" i="8" s="1"/>
  <c r="P23" i="6"/>
  <c r="J19" i="8" s="1"/>
  <c r="P22" i="6"/>
  <c r="J18" i="8" s="1"/>
  <c r="P21" i="6"/>
  <c r="J17" i="8" s="1"/>
  <c r="P20" i="6"/>
  <c r="J16" i="8" s="1"/>
  <c r="P19" i="6"/>
  <c r="J15" i="8" s="1"/>
  <c r="K5" i="6"/>
  <c r="E5" i="6"/>
  <c r="V66" i="5"/>
  <c r="V65" i="5"/>
  <c r="H52" i="8"/>
  <c r="V63" i="5"/>
  <c r="H51" i="8" s="1"/>
  <c r="V62" i="5"/>
  <c r="H50" i="8" s="1"/>
  <c r="V61" i="5"/>
  <c r="H49" i="8" s="1"/>
  <c r="V60" i="5"/>
  <c r="H48" i="8" s="1"/>
  <c r="V59" i="5"/>
  <c r="H47" i="8" s="1"/>
  <c r="V58" i="5"/>
  <c r="H46" i="8" s="1"/>
  <c r="V57" i="5"/>
  <c r="H45" i="8" s="1"/>
  <c r="V52" i="5"/>
  <c r="V51" i="5"/>
  <c r="V50" i="5"/>
  <c r="H37" i="8" s="1"/>
  <c r="V49" i="5"/>
  <c r="H36" i="8" s="1"/>
  <c r="V48" i="5"/>
  <c r="H35" i="8" s="1"/>
  <c r="V47" i="5"/>
  <c r="H34" i="8" s="1"/>
  <c r="V46" i="5"/>
  <c r="H33" i="8" s="1"/>
  <c r="V45" i="5"/>
  <c r="H32" i="8" s="1"/>
  <c r="V44" i="5"/>
  <c r="H31" i="8" s="1"/>
  <c r="V43" i="5"/>
  <c r="H30" i="8" s="1"/>
  <c r="S38" i="5"/>
  <c r="V38" i="5" s="1"/>
  <c r="M38" i="5"/>
  <c r="M52" i="5" s="1"/>
  <c r="M66" i="5" s="1"/>
  <c r="G38" i="5"/>
  <c r="G52" i="5" s="1"/>
  <c r="G66" i="5" s="1"/>
  <c r="V37" i="5"/>
  <c r="S37" i="5"/>
  <c r="M37" i="5"/>
  <c r="M51" i="5" s="1"/>
  <c r="M65" i="5" s="1"/>
  <c r="G37" i="5"/>
  <c r="G51" i="5" s="1"/>
  <c r="G65" i="5" s="1"/>
  <c r="V36" i="5"/>
  <c r="H22" i="8" s="1"/>
  <c r="V35" i="5"/>
  <c r="H21" i="8" s="1"/>
  <c r="V34" i="5"/>
  <c r="H20" i="8" s="1"/>
  <c r="V33" i="5"/>
  <c r="H19" i="8" s="1"/>
  <c r="V32" i="5"/>
  <c r="H18" i="8" s="1"/>
  <c r="V31" i="5"/>
  <c r="H17" i="8" s="1"/>
  <c r="V30" i="5"/>
  <c r="H16" i="8" s="1"/>
  <c r="V29" i="5"/>
  <c r="H15" i="8" s="1"/>
  <c r="R5" i="5"/>
  <c r="K5" i="5"/>
  <c r="E5" i="5"/>
  <c r="AA5" i="4"/>
  <c r="R5" i="4"/>
  <c r="K5" i="4"/>
  <c r="E5" i="4"/>
  <c r="AA4" i="4"/>
  <c r="AA3" i="4"/>
  <c r="AA2" i="4"/>
  <c r="W26" i="3"/>
  <c r="S24" i="3"/>
  <c r="O24" i="3"/>
  <c r="K24" i="3"/>
  <c r="G24" i="3"/>
  <c r="V27" i="3"/>
  <c r="U27" i="3"/>
  <c r="S20" i="3"/>
  <c r="R22" i="3" s="1"/>
  <c r="O20" i="3"/>
  <c r="N22" i="3" s="1"/>
  <c r="K20" i="3"/>
  <c r="J22" i="3" s="1"/>
  <c r="G20" i="3"/>
  <c r="F22" i="3" s="1"/>
  <c r="C39" i="2"/>
  <c r="M22" i="8" l="1"/>
  <c r="M52" i="8"/>
  <c r="M16" i="8"/>
  <c r="E22" i="3"/>
  <c r="G22" i="3" s="1"/>
  <c r="M37" i="8"/>
  <c r="W24" i="3"/>
  <c r="M55" i="6"/>
  <c r="P55" i="6" s="1"/>
  <c r="M15" i="8"/>
  <c r="M42"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W20" i="3"/>
  <c r="P42" i="6" l="1"/>
  <c r="M56" i="6"/>
  <c r="P56" i="6" s="1"/>
  <c r="V22" i="3"/>
  <c r="U22" i="3"/>
  <c r="W27" i="3"/>
  <c r="W22" i="3" l="1"/>
</calcChain>
</file>

<file path=xl/sharedStrings.xml><?xml version="1.0" encoding="utf-8"?>
<sst xmlns="http://schemas.openxmlformats.org/spreadsheetml/2006/main" count="732" uniqueCount="357">
  <si>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</si>
  <si>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</si>
  <si>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</si>
  <si>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</si>
  <si>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</si>
  <si>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</si>
  <si>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</si>
  <si>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</si>
  <si>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</si>
  <si>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</si>
  <si>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</si>
  <si>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</si>
  <si>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</si>
  <si>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</si>
  <si>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</si>
  <si>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</si>
  <si>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</si>
  <si>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</si>
  <si>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</si>
  <si>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</si>
  <si>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</si>
  <si>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</si>
  <si>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</si>
  <si>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</si>
  <si>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</si>
  <si>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</si>
  <si>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</si>
  <si>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</si>
  <si>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</si>
  <si>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</si>
  <si>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</si>
  <si>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</si>
  <si>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</si>
  <si>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</si>
  <si>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</si>
  <si>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</si>
  <si>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</si>
  <si>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</si>
  <si>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</si>
  <si>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</si>
  <si>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</si>
  <si>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</si>
  <si>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</si>
  <si>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</si>
  <si>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</si>
  <si>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</si>
  <si>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</si>
  <si>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</si>
  <si>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r>
      <rPr>
        <b/>
        <sz val="10"/>
        <color theme="0"/>
        <rFont val="Arial"/>
        <family val="2"/>
      </rPr>
      <t xml:space="preserve">3b Type de contexte        </t>
    </r>
    <r>
      <rPr>
        <sz val="10"/>
        <color theme="0"/>
        <rFont val="Arial"/>
        <family val="2"/>
      </rPr>
      <t xml:space="preserve">Cette communauté </t>
    </r>
    <r>
      <rPr>
        <sz val="10"/>
        <color theme="0"/>
        <rFont val="Arial"/>
        <family val="2"/>
      </rPr>
      <t>se trouve-t</t>
    </r>
    <r>
      <rPr>
        <sz val="10"/>
        <color theme="0"/>
        <rFont val="Arial"/>
        <family val="2"/>
      </rPr>
      <t>-elle en milieu urbain, rural ou mixte ?</t>
    </r>
  </si>
  <si>
    <t>Urbain</t>
  </si>
  <si>
    <r>
      <rPr>
        <b/>
        <sz val="10"/>
        <color theme="0"/>
        <rFont val="Arial"/>
        <family val="2"/>
      </rPr>
      <t>3c Environnement géophysique.</t>
    </r>
    <r>
      <rPr>
        <b/>
        <sz val="10"/>
        <color theme="0"/>
        <rFont val="Arial"/>
        <family val="2"/>
      </rPr>
      <t xml:space="preserve">          </t>
    </r>
    <r>
      <rPr>
        <sz val="10"/>
        <color theme="0"/>
        <rFont val="Arial"/>
        <family val="2"/>
      </rPr>
      <t xml:space="preserve"> </t>
    </r>
    <r>
      <rPr>
        <sz val="10"/>
        <color theme="0"/>
        <rFont val="Arial"/>
        <family val="2"/>
      </rPr>
      <t>Effectuez des sélections afin de décrire le cadre géophysique.</t>
    </r>
  </si>
  <si>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</si>
  <si>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</si>
  <si>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</si>
  <si>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</si>
  <si>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</si>
  <si>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</si>
  <si>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</si>
  <si>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</si>
  <si>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 xml:space="preserve">Agriculture et fonctionnariat </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</si>
  <si>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</si>
  <si>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</si>
  <si>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</si>
  <si>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</si>
  <si>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</si>
  <si>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</si>
  <si>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</si>
  <si>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</si>
  <si>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</si>
  <si>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</si>
  <si>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</si>
  <si>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</si>
  <si>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</si>
  <si>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</si>
  <si>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</si>
  <si>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</si>
  <si>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</si>
  <si>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</si>
  <si>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</si>
  <si>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</si>
  <si>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 xml:space="preserve">Inondation </t>
  </si>
  <si>
    <t>Cyclone</t>
  </si>
  <si>
    <t>Nom/type de danger</t>
  </si>
  <si>
    <t>Cause/origine :</t>
  </si>
  <si>
    <t>Signes précurseurs :</t>
  </si>
  <si>
    <t>Délai :</t>
  </si>
  <si>
    <t>Fréquence :</t>
  </si>
  <si>
    <t>Période d’occurrence :</t>
  </si>
  <si>
    <t>Durée :</t>
  </si>
  <si>
    <t xml:space="preserve">Epidémies </t>
  </si>
  <si>
    <t xml:space="preserve">Récurente </t>
  </si>
  <si>
    <t>Combien de dangers prioritaires avez-vous inclus ci-dessus (minimum 1, maximum 3)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</si>
  <si>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</si>
  <si>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</si>
  <si>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</si>
  <si>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</si>
  <si>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</si>
  <si>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</si>
  <si>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</si>
  <si>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Groupe vulnérable 2</t>
  </si>
  <si>
    <t>Groupe vulnérable 3</t>
  </si>
  <si>
    <t>Groupe vulnérable 4</t>
  </si>
  <si>
    <t>Inondation</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</si>
  <si>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</si>
  <si>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</si>
  <si>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 xml:space="preserve">Aspects de vulnérabilité avec leurs causes </t>
    </r>
    <r>
      <rPr>
        <sz val="10"/>
        <color theme="0"/>
        <rFont val="Arial"/>
        <family val="2"/>
      </rPr>
      <t xml:space="preserve">
(la raison pour laquelle l'impact se produit et les causes profondes)</t>
    </r>
  </si>
  <si>
    <r>
      <rPr>
        <b/>
        <sz val="10"/>
        <color theme="0"/>
        <rFont val="Arial"/>
        <family val="2"/>
      </rPr>
      <t>Cote de vulnérabilité</t>
    </r>
    <r>
      <rPr>
        <sz val="10"/>
        <color theme="0"/>
        <rFont val="Arial"/>
        <family val="2"/>
      </rPr>
      <t xml:space="preserve"> (choisissez dans la liste)</t>
    </r>
  </si>
  <si>
    <t>Valeur de VUL</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</si>
  <si>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</si>
  <si>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</si>
  <si>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</si>
  <si>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</si>
  <si>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</si>
  <si>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</si>
  <si>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</si>
  <si>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</si>
  <si>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</si>
  <si>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</si>
  <si>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 xml:space="preserve">Aspects de vulnérabilité avec leurs causes </t>
    </r>
    <r>
      <rPr>
        <sz val="10"/>
        <color theme="0"/>
        <rFont val="Arial"/>
        <family val="2"/>
      </rPr>
      <t xml:space="preserve">
(la raison pour laquelle l'impact se produit et les causes profondes)</t>
    </r>
  </si>
  <si>
    <r>
      <rPr>
        <b/>
        <sz val="10"/>
        <color theme="0"/>
        <rFont val="Arial"/>
        <family val="2"/>
      </rPr>
      <t>Cote de vulnérabilité</t>
    </r>
    <r>
      <rPr>
        <sz val="10"/>
        <color theme="0"/>
        <rFont val="Arial"/>
        <family val="2"/>
      </rPr>
      <t xml:space="preserve"> (choisissez dans la liste)</t>
    </r>
  </si>
  <si>
    <t>---</t>
  </si>
  <si>
    <t xml:space="preserve">&gt; Impossibilité d'aller pêcher car la mer est trop agitée
&gt; Coupure des routes 
&gt; Perte d'emploi 
&gt; Animaux d'élevage emportés par l'eau </t>
  </si>
  <si>
    <r>
      <rPr>
        <b/>
        <sz val="10"/>
        <color theme="0"/>
        <rFont val="Arial"/>
        <family val="2"/>
      </rPr>
      <t>Impact</t>
    </r>
    <r>
      <rPr>
        <sz val="10"/>
        <color theme="0"/>
        <rFont val="Arial"/>
        <family val="2"/>
      </rPr>
      <t xml:space="preserve"> (passé et futur)</t>
    </r>
  </si>
  <si>
    <r>
      <rPr>
        <b/>
        <sz val="10"/>
        <color theme="0"/>
        <rFont val="Arial"/>
        <family val="2"/>
      </rPr>
      <t>Cote de vulnérabilité</t>
    </r>
    <r>
      <rPr>
        <sz val="10"/>
        <color theme="0"/>
        <rFont val="Arial"/>
        <family val="2"/>
      </rPr>
      <t xml:space="preserve"> (choisissez dans la liste)</t>
    </r>
  </si>
  <si>
    <t xml:space="preserve">AUCUNE vulnérabilité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</si>
  <si>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</si>
  <si>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</si>
  <si>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</si>
  <si>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</si>
  <si>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</si>
  <si>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</si>
  <si>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</si>
  <si>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</si>
  <si>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</si>
  <si>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</si>
  <si>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</si>
  <si>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Capacité FAIBLE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</si>
  <si>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</si>
  <si>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</si>
  <si>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</si>
  <si>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</si>
  <si>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</si>
  <si>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</si>
  <si>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</si>
  <si>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</si>
  <si>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</si>
  <si>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</si>
  <si>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</si>
  <si>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</si>
  <si>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</si>
  <si>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</si>
  <si>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</si>
  <si>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</si>
  <si>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</si>
  <si>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</si>
  <si>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</si>
  <si>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</si>
  <si>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</si>
  <si>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</si>
  <si>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</si>
  <si>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</si>
  <si>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</si>
  <si>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</si>
  <si>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</si>
  <si>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</si>
  <si>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</si>
  <si>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</si>
  <si>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</si>
  <si>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</si>
  <si>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</si>
  <si>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</si>
  <si>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</si>
  <si>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</si>
  <si>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</si>
  <si>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</si>
  <si>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</si>
  <si>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</si>
  <si>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</si>
  <si>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</si>
  <si>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</si>
  <si>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</si>
  <si>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</si>
  <si>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</si>
  <si>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</si>
  <si>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</si>
  <si>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</si>
  <si>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</si>
  <si>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</si>
  <si>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</si>
  <si>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</si>
  <si>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</si>
  <si>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</si>
  <si>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</si>
  <si>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</si>
  <si>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</si>
  <si>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</si>
  <si>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</si>
  <si>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</si>
  <si>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</si>
  <si>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</si>
  <si>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</si>
  <si>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</si>
  <si>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1 à 5 jours</t>
  </si>
  <si>
    <t>chaque année</t>
  </si>
  <si>
    <t>4 mois</t>
  </si>
  <si>
    <t>Branche : Morondava</t>
  </si>
  <si>
    <t>Pays : Madagascar</t>
  </si>
  <si>
    <t>La cohesion sociale est une question dificile à poser, mais après discution entre les membres du fokontany, on sent de l'entraide en temps d'urgence dans le fokontany</t>
  </si>
  <si>
    <t>Province / État : Toliara</t>
  </si>
  <si>
    <t>souvent touché par l'innondation</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</si>
  <si>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(Chef Fokontany, chefs des hameaux)
-        Représentant des chretiens
-        Représentant de la CRM local
-        Représentant des personnes âgées
-        Représentant des Jeunes
-        Représentant des Femmes 
-        Représentant des commerçants 
-        Représentant de la société civile
-        Représentant du secteur éducation
-        Représentant du secteur eau
-        Représentant du secteur santé
-        Représentant des pecheurs
-        Agent communautaire
Durant le processus, les autorités locales (Préfecture, Commune, Arrondissement) ainsi que le BNGRC, le MEN ainsi que les gouvernences locales ont été  toujours impliqués. 
</t>
  </si>
  <si>
    <t>Innondation</t>
  </si>
  <si>
    <t>Epidemie</t>
  </si>
  <si>
    <t>cyclone</t>
  </si>
  <si>
    <t>Sensibilisations , formations</t>
  </si>
  <si>
    <t>Chef Fokontany , AC</t>
  </si>
  <si>
    <t xml:space="preserve">Chef fokontany , Commite EVCA </t>
  </si>
  <si>
    <t>Décembre -Mars</t>
  </si>
  <si>
    <t>aprés saison cyclonique : avril -….</t>
  </si>
  <si>
    <t>Toute l'année</t>
  </si>
  <si>
    <t>Fokontany situé en plein ville ,Mais en basse altitude</t>
  </si>
  <si>
    <t>FKT 04/18_Tanambao</t>
  </si>
  <si>
    <t>Quartiers : Fkt 04/18 Tanambao</t>
  </si>
  <si>
    <t>Date de début de l’EVCa : 11/11/2024</t>
  </si>
  <si>
    <t>Date de fin de l’EVCa : 13/11/2024</t>
  </si>
  <si>
    <t>saisonier</t>
  </si>
  <si>
    <t>3 mois</t>
  </si>
  <si>
    <t xml:space="preserve">Pas précis </t>
  </si>
  <si>
    <t>Contact : 0348736810</t>
  </si>
  <si>
    <t>Position : Président de District</t>
  </si>
  <si>
    <t xml:space="preserve">
&gt; Borne Fontaine et Puits</t>
  </si>
  <si>
    <t>Septembre-Novembre</t>
  </si>
  <si>
    <t>Chef Fokontany , ELS</t>
  </si>
  <si>
    <t>Pluies , augmentation de niveau d'eau sur le Balise</t>
  </si>
  <si>
    <t>Croix-Rouge de Malagasy / Branche Menabe</t>
  </si>
  <si>
    <t>BNGRC</t>
  </si>
  <si>
    <r>
      <rPr>
        <sz val="11"/>
        <rFont val="Arial"/>
        <family val="2"/>
      </rPr>
      <t>Dans le cadre du projet Programme local de Préparation et de Résilience aux aléas Multiples (PPRM) financé par la FCDO mis en oeuvre par la Croix-Rouge Malagasy</t>
    </r>
    <r>
      <rPr>
        <sz val="11"/>
        <color theme="1"/>
        <rFont val="Arial"/>
        <family val="2"/>
      </rPr>
      <t xml:space="preserve"> , des activités de préparation et anticipation ont identifiés comme besoin crucial pour préparer cette saison cyclonique 2024– 2025. Ainsi, la région Menabe-Madagascar a été identifiée comme zone favorable pour mener une Evaluation des Vulnérabilités et Capacités améliorée (EVCA).Un atelier EVCA de trois (03) jours par Fokontany est ainsi organisé dans 04 fokontany de la ville de Morondava  et 02 fokontany pour la commune d'Analaiva.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(Vice president Fokontany) en tant qu’observateurs
- Représentant de la CRM local 
- Représentant des personnes âgées
- Représentant des Jeunes
- Représentant des Femmes 
- Représentant de la société civile
- Représentant du secteur éducation
- Représentant des commerçants
- Représentant du pecheurs
- Représentant des cultivateurs
- Agent communautaire</t>
    </r>
  </si>
  <si>
    <t>Il y avait des représentants des hommes , des représentants des femmes, des représentants des jeunes. Ces derniers nous ont expliqué qu'il n'y avait pas de vulnérabilité particulière pour ces groupes ou de genre car toute la communauté est affectée et se débrouille eux meme .</t>
  </si>
  <si>
    <r>
      <t xml:space="preserve">1. </t>
    </r>
    <r>
      <rPr>
        <b/>
        <sz val="10"/>
        <color theme="1"/>
        <rFont val="Arial"/>
        <family val="2"/>
      </rPr>
      <t xml:space="preserve">Vulnérabilité humaine </t>
    </r>
    <r>
      <rPr>
        <sz val="10"/>
        <color theme="1"/>
        <rFont val="Arial"/>
        <family val="2"/>
      </rPr>
      <t xml:space="preserve">:
Population exposée :
Densité de population dans les zones inondées.
Personnes vulnérables (enfants, personnes âgées, personnes handicapées).
Manque d'information ou de sensibilisation :
Absence de plans d'évacuation ou méconnaissance des consignes de sécurité.
Non-respect des consignes d'alerte par manque de sensibilisation.
Santé publique :
Risques sanitaires liés à l’eau contaminée (maladies hydriques comme le choléra, leptospirose).
Manque d'accès aux soins ou aux médicaments pour les populations touchées.
2. </t>
    </r>
    <r>
      <rPr>
        <b/>
        <sz val="10"/>
        <color theme="1"/>
        <rFont val="Arial"/>
        <family val="2"/>
      </rPr>
      <t>Vulnérabilité des infrastructures</t>
    </r>
    <r>
      <rPr>
        <sz val="10"/>
        <color theme="1"/>
        <rFont val="Arial"/>
        <family val="2"/>
      </rPr>
      <t xml:space="preserve"> :
Bâtiments :
Constructions situées en zone inondable.
Utilisation de matériaux non adaptés ou constructions non résistantes à l’eau.
Réseaux de transport :
Routes, ponts et chemins de fer endommagés ou submergés, rendant les secours difficiles.
Réseaux essentiels :
Pannes ou dégradations des systèmes d’eau potable, d’électricité et de télécommunications.
Stations de pompage et usines de traitement d’eau hors service.
Installations industrielles :
Risques de fuites de produits chimiques ou pétroliers en cas d’inondation dans les zones industrielles.
3. </t>
    </r>
    <r>
      <rPr>
        <b/>
        <sz val="10"/>
        <color theme="1"/>
        <rFont val="Arial"/>
        <family val="2"/>
      </rPr>
      <t>Vulnérabilité environnementale</t>
    </r>
    <r>
      <rPr>
        <sz val="10"/>
        <color theme="1"/>
        <rFont val="Arial"/>
        <family val="2"/>
      </rPr>
      <t xml:space="preserve"> :
Pollution des sols et des eaux :
Mélange des eaux de crue avec des eaux usées ou des produits toxiques.
Dégradation des écosystèmes :
Destruction d’habitats naturels et déplacement de la faune.
Érosion et glissements de terrain :
Affaiblissement des sols à cause de la saturation en eau.
4.</t>
    </r>
    <r>
      <rPr>
        <b/>
        <sz val="10"/>
        <color theme="1"/>
        <rFont val="Arial"/>
        <family val="2"/>
      </rPr>
      <t xml:space="preserve"> Vulnérabilité économique :</t>
    </r>
    <r>
      <rPr>
        <sz val="10"/>
        <color theme="1"/>
        <rFont val="Arial"/>
        <family val="2"/>
      </rPr>
      <t xml:space="preserve">
Perte de moyens de subsistance :
Destruction de cultures agricoles et de bétail.
Arrêt temporaire ou permanent d'activités commerciales.
Coûts élevés de la reconstruction :
Réparation des infrastructures et des logements endommagés.
Assurance insuffisante :
Populations ou entreprises non couvertes par des assurances contre les catastrophes naturelles.
5.</t>
    </r>
    <r>
      <rPr>
        <b/>
        <sz val="10"/>
        <color theme="1"/>
        <rFont val="Arial"/>
        <family val="2"/>
      </rPr>
      <t xml:space="preserve"> Vulnérabilité organisationnelle</t>
    </r>
    <r>
      <rPr>
        <sz val="10"/>
        <color theme="1"/>
        <rFont val="Arial"/>
        <family val="2"/>
      </rPr>
      <t xml:space="preserve"> :
Préparation insuffisante :
Absence de plans d’urgence ou de systèmes d’alerte précoce.
Coordination inefficace entre les différents acteurs (gouvernements, ONG, secours).
Manque de ressources :
Secours insuffisants en termes de personnel, d’équipements et de financements.
Inégalités sociales :
Difficultés d’accès aux aides pour certaines populations marginalisées.
6. </t>
    </r>
    <r>
      <rPr>
        <b/>
        <sz val="10"/>
        <color theme="1"/>
        <rFont val="Arial"/>
        <family val="2"/>
      </rPr>
      <t>Vulnérabilité culturelle et psychologique</t>
    </r>
    <r>
      <rPr>
        <sz val="10"/>
        <color theme="1"/>
        <rFont val="Arial"/>
        <family val="2"/>
      </rPr>
      <t xml:space="preserve"> :
Attachement aux zones inondées :
Refus d’évacuation par peur de perdre des biens ou attachement au lieu de vie.
Impact psychologique :
Stress, anxiété et traumatismes liés à la perte de proches, de biens ou d’habitat.</t>
    </r>
  </si>
  <si>
    <t>Changement climatique, perturbation ou dépression tropicale</t>
  </si>
  <si>
    <t>vent , nuageux , tourbions , tempete , information de Météo</t>
  </si>
  <si>
    <r>
      <t xml:space="preserve">Morondava, chef-lieu de la région Menabe ,province de Toliara, est la seconde ville du pays et concentre 6,6% de sa population urbaine. Elle se situe dans la région Menabe, sur la côte-ouest du pays, au débouché de l'océan indien , axe majeur de transport de marchandises, à environ 697 kilomètres d’Antananarivo via la route nationale 35 et 7 (RN 35 et RN7). Morondava est composée de 4 commune et de 18 fokontany et rassemble 22% de la population de la région Menabe, avec 178 966 habitants pour une superficie de 28km22, soit une densité moyenne de 10 534 habitants/km2. Principal port du pays et parmi les plus importants de l’océan Indien,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six centres de santé de base et deux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Morondava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04/18 Tanambao (secteurs 1, 2, 3, 4, 5) est composé de la sorte</t>
    </r>
    <r>
      <rPr>
        <sz val="10"/>
        <color theme="1"/>
        <rFont val="Arial"/>
        <family val="2"/>
      </rPr>
      <t xml:space="preserve">
Secteur 1 : population de 1252 habitants (466 hommes et 786 femmes) répartis en 1205 ménages avec une moyenne de 4 personnes par ménage 
Secteur 2 : population de 1181 habitants (470 hommes et 711 femmes) répartis en 1113 ménages avec une moyenne de 7 personnes par ménage 
Secteur 3 : population de 1208 habitants (483 hommes et 725 femmes) répartis en 1157 ménages avec une moyenne de 5 personnes par ménage
Secteur 4 : population de 1261 habitants (419 hommes et 842 femmes) répartis en 1171 ménages avec une moyenne de 2 personnes par ménage 
Secteur 5 : population de 1288 habitants (581 hommes et 707 femmes) répartis en 1219 ménages avec une moyenne de 5 personnes par ménage
Le fokontany 04/18Tanambao regroupe ainsi 6190 habitants dont 2 419 hommes et 3 771 femmes 
Les principaux risques auxquels fait face la communauté sont les suivants : inondations et cyclones en lien avec les canaux bouchés et la mauvaise gestion des déchets ce qui génère des maladies ainsi qu’en lien avec l’augmentation du niveau de la mer. Le fokontany a été touché par plusieurs cyclones depuis les années 1990, ainsi que par l'épidémie de Covid.  
</t>
    </r>
  </si>
  <si>
    <t>Débordement de rivière KABATOMENA dans la communauté ,Pluies, climat 
Caractéristiques des lieux ,  surtout la montée de la mer (marré Haute  EQUINOX)
Canal d'évacuation d'eau presque même niveau au surface de la communauté et trop étroits, déchets dans les canaux, construction dans les bas quartiers, manque d'action des responsables, pas assez d'infrastructure d'évacuation , en raison de sa position géographique et de son élévation basse manque d'action des responsables, pas assez d'infrastructure d'évacuation ,</t>
  </si>
  <si>
    <t xml:space="preserve">Les dangers identifiés comme prioraitaires sont les suivants : inondation , épidémie ,cyclone. 
Les aléas ont été identifiés grace aux outils : profil historique, calendrier saisonnier, matrice des risques, cartographie, marche transversale
</t>
  </si>
  <si>
    <t>Décembre-Mars</t>
  </si>
  <si>
    <t>augmentation des effectifs des malades journalieres a meme symptome , toux , diarrhée , maux de tete récurente , maux de tete , Fièvre, toux, congestion nasale, difficultés respiratoires , emporté par le vent</t>
  </si>
  <si>
    <t>déversement des déchet ; Innondation , Défécation dans la nature , saleté , permanence d'eau resté dans la communauté</t>
  </si>
  <si>
    <t>Non définie</t>
  </si>
  <si>
    <t>Enfants :
Ils dépendent des adultes pour leur sécurité et sont particulièrement exposés aux maladies, à la malnutrition ou au stress en cas de crise.</t>
  </si>
  <si>
    <t>Femmes et filles :
Elles subissent souvent des charges sociales et économiques disproportionnées et sont parfois exposées à des risques accrus de violence ou de discrimination en situation de crise.</t>
  </si>
  <si>
    <t>Des facteurs liés à des aspects sociaux</t>
  </si>
  <si>
    <t xml:space="preserve">&gt; augmentation des sinistrés et des sans abris, et manque des outils
&gt; Augmentation du nombre de vols et de l'insécurité, </t>
  </si>
  <si>
    <t xml:space="preserve">&gt; 
&gt; Insufisance de prise de responsabilité </t>
  </si>
  <si>
    <t>&gt;  Contamination de l’eau potable par les eaux de ruissellement, entraînant des maladies et se propager rapide ; Augmentatios des personnes malades , Propagation rapide des maladies : gale , diarrhée , paludisme ,</t>
  </si>
  <si>
    <t>&gt; Déversement de selles et de déchets ,  La durabilité de l'eau restante dans la communauté , Eau polluée , des puits polluée , Débordement des fosses septiques ( latrines), aggravant les risques sanitaires</t>
  </si>
  <si>
    <t xml:space="preserve">&gt;Les eaux stagnantes favorisent la prolifération de moustiques (paludisme, dengue) et la contamination des sources d'eau potable.Pollution de puits , Saleté et transformation de qualité d'eau , Eau polluée , des puits polluée , Contamination de l’eau potable par les eaux de ruissellement, </t>
  </si>
  <si>
    <t>&gt; Pas assez d'eau  potable et BF
&gt; Eau polluée et salé
&gt; montée de l'eau notament la marré haute d'EQUINOX 
&gt; Défécation à l'air libre  , manque d'habitude sur le traitement de l'eau et de lavage des mains .</t>
  </si>
  <si>
    <t xml:space="preserve">&gt; Dégradation des matériaux de construction (murs, fondations, toitures) due à l'eau. 
&gt;Maisons détruites ou menacées , effondrement total ou partiel des habitations.
&gt;Accumulation de boue, détritus ou saletés à l'intérieur des habitations.Les logements en matériaux non résistants (terre battue) sont souvent emportés.
</t>
  </si>
  <si>
    <t>&gt; Manque d’alternatives pour les populations à faible revenu. Utilisation de matériaux non résistants à l'eau, comme le bois non traité, la terre battue, ou les briques non stabilisées ; Absence de surélévation par rapport au niveau du sol, ce qui expose directement le logement aux inondations.
Mauvaise conception des fondations, entraînant des effondrements ou des infiltrations.</t>
  </si>
  <si>
    <t xml:space="preserve">&gt;  les stocks se pourissent , hausse de prix de nourriture , Insuffisance alimentaire  ; augmentation d'insécurité alimentaire  
</t>
  </si>
  <si>
    <t>&gt; Pas assez de nourriture à épargnés ; Les familles perdent leurs terres agricoles, aggravant l'insuffisance alimentaire , la pauvreté  ; Consommation de nourriture non saine , insuffisante</t>
  </si>
  <si>
    <t xml:space="preserve">&gt; La mort des animaux ; Détérioration de la qualité de vie et difficulté à se relever après l'inondation 
&gt; Dimunition de source de revenu ; Les familles doivent consacrer leurs économies ou s'endetter pour réparer ou reconstruire leurs logements ; Certain perdent leurs terres agricoles, aggravant la pauvreté. 
&gt; Augmentation de la pauvreté
</t>
  </si>
  <si>
    <t xml:space="preserve">&gt; Cessation des activités commercial
&gt; Eaux polluées 
&gt; Les produits pourrissent 
&gt; Baisse de la clientèle 
&gt; Marchés inondés 
&gt; dificulté de déplacement pour travailler  </t>
  </si>
  <si>
    <t>&gt; Fermeture des services , des écoles et de prestation ;  Les administrations locales ne peuvent fonctionner normalement, ce qui retarde la gestion des crises et les services à la population ; Déstructions et fissuration des 'infrastructures  ; L’accueil prolongé des sinistrés retarde la reprise des cours, perturbant l’année scolaire des élèves.Les canaux bouchés empêchent l'évacuation rapide des eaux pluviales, entraînant des inondations prolongées.</t>
  </si>
  <si>
    <t>&gt; Chemins non pavés rendus impraticables par la boue ; Déversement des déchets partout dans la communautés ; Bâtiments endommagés ou détruits, interrompant les activités éducatives et administratives ; Utilisation des écoles comme abris temporaires, rendant leur réouverture difficile.</t>
  </si>
  <si>
    <t>&gt; Pollution accrue des zones naturelles et dans la mer ; Les débris des logements détruits et les matériaux polluants se dispersent dans la nature</t>
  </si>
  <si>
    <t>&gt; Défecation dans la nature
&gt; Dépôt d'ordure dans les zones naturelles et sur les zones côtières ;La croissance urbaine incontrôlée dans les zones à haut risque augmente la vulnérabilité des populations et des ressources naturelles aux cyclones
&gt; Depôt d'ordure dans les zones naturelles et sur les zones côtières</t>
  </si>
  <si>
    <t xml:space="preserve">&gt;Dégat materiel et humains  , augmentation des sinistrés et des sans abris, et manque des outils
&gt; Montée des déchets rejetées par la mer ; Les cyclones détruisent les cultures, les bétails et les commerces, rendant les communautés plus dépendantes des aides
&gt; Inondation ,montée des déchets et des selles
</t>
  </si>
  <si>
    <t xml:space="preserve">&gt; Toitures légères, matériaux de construction non résistants, absence de normes parasismiques ou anti-cycloniques à cause de la pauvreté empêchant l’investissement dans des matériaux robustes
&gt; Montée du niveau de la mer ; 
&gt; Habitations situées dans des zones inondables ou des pentes instables. </t>
  </si>
  <si>
    <t>&gt; Diarrhée, Paludisme , Contamination de l’eau potable par les eaux de ruissellement, entraînant des maladies et se propager rapide comme le choléra, les diarrhées , la gale. &gt;Prolifération des moustiques dans les zones inondées, augmentant les cas de paludisme et de dengue. Surcharge des services de santé due à l'augmentation des maladies post-inondation ; Incapacité des hôpitaux à fournir des soins adéquats</t>
  </si>
  <si>
    <t xml:space="preserve">&gt; Dépot de déchets et de l'eau presque permanent ; Déversement de selles et de déchets ; Débordement des fosses septiques ( latrines), aggravant les risques sanitaires ; </t>
  </si>
  <si>
    <t xml:space="preserve">&gt; Contamination de l’eau potable par les eaux de ruissellement, Manque d'accés à l'eau potable , Les eaux stagnantes favorisent la prolifération de moustiques (paludisme, dengue) et la contamination des sources d'eau potable </t>
  </si>
  <si>
    <t xml:space="preserve">&gt; Insuffisance des Borne Fontaine ,WC ;  Insuffisance des Borne Fontaine ,WC  
&gt; Défécation dans la nature , manque d'habitude sur le traitement de l'eau et de lavage de mains .
&gt;Déversement de selles et de déchets dans le puits et eau , Débordement des fosses septiques (latrines ), aggravant les risques de pollution d'eau et de la communauté </t>
  </si>
  <si>
    <t>&gt; Destruction des maisons 
&gt; Dégradation des matériaux de construction (murs, fondations, toitures) due à l'eau.
Accumulation de boue, détritus ou saletés à l'intérieur des habitations. 
&gt; Cambriolage , inondation, fichuration des murs</t>
  </si>
  <si>
    <t xml:space="preserve">&gt;Mauvaise conception des fondations, entraînant des effondrements ou des infiltrations. 
&gt;Utilisation de matériaux non résistants à l'eau, comme le bois non traité, la terre battue, ou les briques non stabilisées. 
&gt; Manque d’alternatives pour les populations à faible revenu. 
&gt;Absence de surélévation par rapport au niveau du sol, ce qui expose directement le logement aux inondations.
&gt; Montée du niveau de la mer , et déborde au communautés
 </t>
  </si>
  <si>
    <t>&gt;  Insuffisance alimentaire ; Malnutrition , augmentation de l'insécurité alimentaire , hausse de prix des nourritures</t>
  </si>
  <si>
    <t xml:space="preserve">&gt;La perte de terres agricoles et érosion des sols qui dégradent les sols agricoles, ce qui rend les terres moins productives et augmente l'insécurité alimentaire. Insufisance de stockage de nourriture , Les familles perdent leurs terres agricoles, aggravant l'insuffisance alimentaire , la pauvreté . 
</t>
  </si>
  <si>
    <t xml:space="preserve">&gt; Les familles doivent consacrer leurs économies ou s'endetter pour réparer ou reconstruire leurs logements.Certain perdent leurs terres agricoles, aggravant la pauvreté. Détérioration de la qualité de vie et difficulté à se relever après l'inondation
&gt; Difficultés financières et fragilisation des ménages 
&gt; Les terres agricoles et les ressources naturelles (pêche, forêts) sont souvent endommagées, réduisant la productivité économique.
&gt; Les habitants perdent leurs moyens de subsistance, notamment pour ceux qui travaillent depuis leur domicile ou dans l'agriculture
&gt; Hausse généralisée des prix  la mort des animaux 
</t>
  </si>
  <si>
    <t xml:space="preserve">&gt; Concentration des sinistrés à un seul endroit - propogation encore plus rapide des maladies, bousculades 
&gt; Enfants ne peuvent pas aller à l'école 
&gt; Les gens ne peuvent pas se déplacer ; </t>
  </si>
  <si>
    <t xml:space="preserve">&gt; Les cyclones peuvent entraîner de graves inondations, ce qui a un double impact sur les ressources en eau ; Instabilité de la mer , dégradation de l'environnement ;La perte de végétation peut entraîner une érosion des sols, un appauvrissement des terres et un impact négatif sur les espèces animales. </t>
  </si>
  <si>
    <t xml:space="preserve">&gt; Perte de terres agricoles et érosion des sols ; La croissance urbaine incontrôlée dans les zones à haut risque augmente la vulnérabilité des populations et des ressources naturelles aux cyclones ; La destruction de forêts, de mangroves , qui sont des boucliers naturels contre l'érosion et les vagues de tempête. </t>
  </si>
  <si>
    <t>&gt;Les ressources humaines, financières et matérielles, normalement allouées à la gestion des risques de catastrophes, sont réorientées vers la lutte contre l’épidémie. 
&gt;L’épidémie épuise les mécanismes de résilience des communautés, comme les réseaux de solidarité, les fonds d’épargne communautaires ou les capacités locales d’intervention . Les plans d'action pour des événements climatiques extrêmes, comme les cyclones, les inondations ou les sécheresses, sont souvent retardés ou compromis en raison de la priorité donnée à la gestion de l’épidémie   Cela affaiblit la capacité de réponse à d'autres catastrophes</t>
  </si>
  <si>
    <t xml:space="preserve">&gt; Déracinement de la borne à fontaine 
&gt; Canaux bouchés et remplis d'ordures , Bâtiments endommagés ou détruits, interrompant les activités éducatives et administratives.
&gt;Utilisation des écoles comme abris temporaires, rendant leur réouverture difficile. 
&gt;Chemins non pavés rendus impraticables par la boue 
&gt; Manque de bac à ordure , manque de Bloc sanitaire </t>
  </si>
  <si>
    <t xml:space="preserve">&gt;Perte de moyens de subsistance en raison des confinements et des restrictions, ce qui réduit la résilience économique des familles.Isolement social et restrictions qui empêchent la mobilisation communautaire ; Déversement des ordurs ,Saleté de la communauté
</t>
  </si>
  <si>
    <t xml:space="preserve">&gt; Le maladie s'aggrave 
&gt;  Les épidémies augmentent significativement les cas de maladies et les décès dans la communauté.
&gt; Les gens doivent se tenir à distance les uns des autres 
&gt; Automédication </t>
  </si>
  <si>
    <t xml:space="preserve">&gt; Diminution de la qualité des soins pour tous les patients, y compris ceux atteints d'autres maladies. Mortalité accrue en raison de retards dans les soins ou du manque de ressources ; &gt;Surcharge des établissements de santé, entraînant des délais de traitement ou l'absence de soins pour certaines maladies non liées à l'épidémie.Interruption des services de santé essentiels (vaccination, suivi des maladies chroniques, maternité).
 </t>
  </si>
  <si>
    <r>
      <t xml:space="preserve">Aspects de vulnérabilité avec leurs causes </t>
    </r>
    <r>
      <rPr>
        <sz val="10"/>
        <color theme="0"/>
        <rFont val="Arial"/>
        <family val="2"/>
      </rPr>
      <t xml:space="preserve">
(la raison pour laquelle l'impact se produit et les causes profondes)</t>
    </r>
  </si>
  <si>
    <t>&gt; Accès insuffisant à l’eau potable : Réseaux de distribution déficients ou inexistants.
Systèmes d’assainissement inadéquats : Absence de latrines, mauvais entretien des égouts. , manque d'habitude pour le lavage des mains réguliére
&gt; Mauvaises habitudes : Utilisation d’eaux non traitées pour boire ou cuisiner.
&gt; Manque d’hygiène : Absence d’installation pour se laver les mains ou mauvaises pratiques.</t>
  </si>
  <si>
    <t xml:space="preserve"> &gt;Habitations surchargées facilitant la transmission des maladies ; Mauvaise ventilation : Favorise la propagation de maladies respiratoires (ex. pneumonie, tuberculose) ; Habitations situées près des décharges, des eaux stagnantes ou des zones industrielles polluées ; Habitudes alimentaires ou d’élevage : Présence d’animaux domestiques ou d’élevage dans les habitations, augmentant les risques de zoonoses (ex. peste, grippe aviaire). Eaux stagnantes autour des habitations : Favorisent les vecteurs de maladies comme les moustiques (ex. paludisme, dengue).</t>
  </si>
  <si>
    <t>&gt;Propagation accélérée des maladies infectieuses : Notamment dans les zones surpeuplées ou insalubres. 
&gt; Risque accru de mortalité : Surtout parmi les enfants et les personnes âgées vivant dans des conditions précaires.</t>
  </si>
  <si>
    <t>&gt; Consommation d'eau non potable 
&gt; Propagation accélérée des maladies infectieuses : Notamment dans les zones surpeuplées ou insalubres.</t>
  </si>
  <si>
    <t>&gt; Augmentation du nombre de personnes souffrant de la faim ou n’ayant pas accès à une alimentation suffisante et équilibrée.
&gt;Apparition de crises alimentaires locales dues à une perturbation de la production, de la distribution ou de l'accès à la nourriture.</t>
  </si>
  <si>
    <t xml:space="preserve">&gt; Augmentation des prix des denrées alimentaires, rendant l’alimentation inaccessible pour les ménages les plus vulnérables. 
&gt; Réduction de la production agricole en raison de perturbations dans les activités agricoles (semis, récolte, etc.)
&gt; Consommation de nourriture périmée 
&gt; Perturbations des chaînes d’approvisionnement, entraînant une rareté des produits alimentaires sur les marchés.Manque d'argent pour acheter de la nourriture </t>
  </si>
  <si>
    <t xml:space="preserve">&gt;Suspension des activités professionnelles : Les travailleurs indépendants ou à contrat temporaire perdent leurs revenus faute d’activité.
&gt; Diminution des revenus </t>
  </si>
  <si>
    <t>&gt; Difficultés financières pour acheter des médicaments 
&gt; Parfois la totalité des revenus sont dépensés dans les soins médicaux ; La baisse de la consommation, causée par des restrictions ou une perte de pouvoir d'achat des consommateurs, affecte les revenus des petite entreprises.</t>
  </si>
  <si>
    <t>&gt; Les hôpitaux et centres de santé sont débordés par l’afflux de patients, entraînant une réduction de la qualité des soins.
&gt;Les systèmes de santé deviennent incapables de gérer d’autres maladies ou urgences, augmentant les taux de mortalité indirects.</t>
  </si>
  <si>
    <t>&gt; Insuffisance du centre de santé de base II , Incapacité des hôpitaux et centres de santé à répondre à l’afflux massif de patients.
&gt;Fermeture prolongée des écoles, compromettant l'accès à l'éducation ; Insuffisance d'équipements médicaux (lits, respirateurs, médicaments).</t>
  </si>
  <si>
    <t xml:space="preserve">&gt; Augmentation de la déforestation pour l’agriculture ou pour répondre aux besoins en bois de chauffage ou en revenus rapides , exploitent davantage les forêts, les sols et les ressources halieutiques pour subvenir à leurs besoins, aggravant la dégradation des écosystèmes ; Épuisement des ressources naturelles locales, compromettant leur disponibilité pour les générations futures ; </t>
  </si>
  <si>
    <t>&gt;Dégradation des terres agricoles en raison de l’exploitation intensive ou de l’abandon des terres ; Déclin des activités de reboisement, de surveillance des aires protégées et de gestion des espèces menacées.</t>
  </si>
  <si>
    <t>Volontariat local : Les jeunes et les membres de la communauté peuvent s’engager dans des initiatives d’entraide (construction de digues, distribution d’aide, etc.) , Solidarité communautaire : Les traditions malgaches, comme le fihavanana (esprit de solidarité), favorisent la coopération et le soutien mutuel en période de crise.</t>
  </si>
  <si>
    <t xml:space="preserve">&gt;Possession des abris sécurisé  ; Certains d'entre eux possedent de maison en dure , en parpaing , certains gens connaît les techniques traditionnelles pour renforcer les habitations contre les inondations en utilisant des ressources naturelles </t>
  </si>
  <si>
    <t xml:space="preserve">
&gt;stockage des nourriture vivriere comme: manioc,maîs ,patate douce</t>
  </si>
  <si>
    <t xml:space="preserve">&gt;Relance de la production agricole, notamment pour les cultures adaptées aux conditions post-cycloniques (riziculture, cultures vivrières) ; Augmentation de la pêche artisanale et des revenus pour les pêcheurs locaux ; Emplois temporaires dans la construction (routes, maisons, écoles).Gagner de l'argent à hotelerie et PPN , Les terres inondées peuvent être enrichies par les sédiments apportés par l'inondation , augmentant leur fertilité.  
</t>
  </si>
  <si>
    <t xml:space="preserve">&gt;Existance des abris comme: EPP et CEG Ankisirasira, Eglise Anglikanina utilisés comme des hébergements et accueils temporaires 
Hébèrgement entre voisins  </t>
  </si>
  <si>
    <t xml:space="preserve">&gt;Agents communautaires fournir des sensibilisation et des  conseils </t>
  </si>
  <si>
    <t xml:space="preserve">&gt;Forage , BF 
</t>
  </si>
  <si>
    <t>&gt;Certains Maisons en dur / parpin et en bois ce qui permet de limiter les dégâts</t>
  </si>
  <si>
    <t xml:space="preserve">&gt;Existance des ELS ,outils SAP (Gillet de sauvetage , pirogue , bottes de pluis , Torche , mégaphone , sifflet ) ; Connaissance des comportements cycloniques et des refuges naturels sûrs ; Partage des informations par les agents communaitaires, alertes météo, alertes précoces , existance d'Organisation nationale de gestion des catastrophes ( le BNGRC) ; </t>
  </si>
  <si>
    <t>&gt;Stockage de nourriture vivrière , Un peu de soutien mutuel pour l’hébergement temporaire ou le partage des aliments entre familles ; Stocks pré-positionnés de nourriture, d’eau potable, et de matériaux d’urgence</t>
  </si>
  <si>
    <t>&gt;Vente des animaux ; Emplois temporaires dans la construction (routes, maisons, écoles) ; Les terres inondées peuvent être enrichies par les sédiments apportés par le cyclone, augmentant leur fertilité ; Augmentation de la pêche artisanale et des revenus pour les pêcheurs locaux ;  gagner de l'argent à hotelerie et PPN ;</t>
  </si>
  <si>
    <t xml:space="preserve">&gt;BF, Ecole , Eglise , terrain basket , accueils temporaires 
Hébèrgement entre voisins  </t>
  </si>
  <si>
    <t>&gt;Possession des foret de mangroves ; &gt;Réboisement des jeunes plantes (mangroves) , Connaît les techniques traditionnelles pour renforcer les habitations contre les vents forts en utilisant des ressources naturelles ;</t>
  </si>
  <si>
    <t xml:space="preserve">&gt;Equipe Local de Secours (ELS) ; Elle sont beaucoup des volontaires formé par la CRM , Implication des chefs de villages, des associations de femmes et des groupes de jeunes pour diffuser les messages de prévention ; Agents communautaires pour la sensibilisation aux épidémies, prévention ; </t>
  </si>
  <si>
    <t xml:space="preserve">&gt;AC , Mégaphone 01 , Existence de aide soignante paramed pour une prise en charge des soins </t>
  </si>
  <si>
    <t>&gt;BF , Japis , Puits</t>
  </si>
  <si>
    <t>&gt;plantes médicinaux , Connaît les techniques traditionnelles pour l'utilisation des Plantes médicinaux</t>
  </si>
  <si>
    <t>&gt;Médecins privés , pas loin des hopitaux</t>
  </si>
  <si>
    <t>&gt;Commerces et charpentis , collecte de produits aquatiques</t>
  </si>
  <si>
    <t>&gt;Stockage de nourriture vivrierre</t>
  </si>
  <si>
    <t>&gt;Certains maisons est propre et il n'y a pas de risque de contamination en plus en dure/ parpaing</t>
  </si>
  <si>
    <t xml:space="preserve">&gt;Foret des mangroves ; Initiatives communautaires pour planter des arbres résilients. </t>
  </si>
  <si>
    <t xml:space="preserve">&gt;Agents communautaires , 
Communauté sensibilisée sur les gestes à suivre ce qui permet de faire diminuer la propagation des maladies </t>
  </si>
  <si>
    <t>&gt;Possession des nombreuse jeunes volontaires ; Existance d'Equipe Local de Sécours (ELS) , outils SAP ; Existance d'Organisation nationale de gestion des catastrophes (par exemple, le BNGRC)</t>
  </si>
  <si>
    <t xml:space="preserve">&gt;Diversité ethnique, linguistique et religieuse pouvant influencer la cohésion sociale ; Discrimination , corruption , </t>
  </si>
  <si>
    <t>&gt;Manque de cohesion sociaux pendant l'urgence catastrophique mais en cas de décès ; Conflits intercommunautaires ou tensions ethniques</t>
  </si>
  <si>
    <t>&gt;Rétard de feedback de la demande , Les routes impraticables empêchent le transport de biens et services, perturbant les chaînes d’approvisionnement locales</t>
  </si>
  <si>
    <t xml:space="preserve">&gt;Bâtiments endommagés ou détruits, interrompant les activités éducatives et administratives.Utilisation des écoles comme abris temporaires, rendant leur réouverture difficile. Chemins non pavés rendus impraticables par la boue  , déversement des déchets partout dans la communautés ;  </t>
  </si>
  <si>
    <t xml:space="preserve">Existance des abris comme: EPP Tanambao , Centre de réfuge districal la voirie Morondava centre, utilisés comme des hébergements et accueils temporaires 
Hébèrgement entre voisins  </t>
  </si>
  <si>
    <t xml:space="preserve"> Perte de matériel éducatif comme les livres et les équipements ; Les routes inondées deviennent impraticables, interrompant les déplacements et le transport des marchandises ; Le canal d'évacuation mal entretenus entraînent une stagnation de l’eau . Les bâtiments résidentiels, commerciaux et publics peuvent être endommagés ou détruits.Le canal d'évacuation mal entretenus entraînent une stagnation de l’eau . </t>
  </si>
  <si>
    <t xml:space="preserve">&gt; Cessation des activités quotidiene
&gt; Eaux polluées 
&gt; Les produits pourrissent 
&gt; Baisse de la clientèle 
&gt; Marchés inondés 
&gt; Dificulté de déplacement pour travailler  </t>
  </si>
  <si>
    <t xml:space="preserve">  Relance de la production agricole, notamment pour les cultures adaptées aux conditions post-cycloniques (riziculture, cultures vivrières) ; Les terres inondées peuvent être enrichies par les sédiments apportés par l'inondation , augmentant leur fertilité ;  Emplois temporaires dans la construction (routes, maisons, écoles) ; Augmentation de la pêche artisanale et des revenus pour les pêcheurs locaux ;</t>
  </si>
  <si>
    <t>1. Perte d'investissements
Les investisseurs hésitent à investir dans des zones sujettes aux inondations, réduisant les opportunités de croissance économique.
Les infrastructures endommagées (routes, ponts, réseaux électriques) rendent les zones moins attractives pour les investissements futurs
2. Chômage temporaire ou prolongé
Les entreprises fermées ou affectées par les inondations peuvent licencier ou suspendre leurs employés.
Les secteurs informels, tels que les petits commerces de rue, sont particulièrement vulnérables.
 3.Agriculture :
Destruction des cultures, perte de bétail, et contamination des sols, réduisant les opportunités de revenus agricoles.</t>
  </si>
  <si>
    <t>&gt;  Débordement des fosses septiques ( latrines), aggravant les risques sanitaires ; Déversement de selles et de déchets ; La durabilité de l'eau restante dans la communauté , Eau polluée , des puits polluée ,</t>
  </si>
  <si>
    <t xml:space="preserve">&gt;Agents communautaires 
&gt;Communauté sensibilisée sur les gestes à suivre ce qui permet de faire diminuer la propagation des maladies </t>
  </si>
  <si>
    <t>&gt;Pollution accrue et risque de maladies dues aux déchets ; Centres de santé inondés ou endommagés, rendant l'accès aux soins difficile , Débordement des décharges ou des systèmes de collecte des ordures, répandant des déchets dans l’environnement ,</t>
  </si>
  <si>
    <t>&gt; Les eaux stagnantes favorisent la prolifération de moustiques (paludisme, dengue) et la contamination des sources d'eau potable ; Eau polluée , des puits polluée , Contamination de l’eau potable par les eaux de ruissellement, Manque d'accés à l'eau potable ,</t>
  </si>
  <si>
    <t xml:space="preserve">Traitement de l'eau faite par la communauté lors d'une passage d'inondation , mise en place de comités locaux pour superviser les activités d’eau et d’assainissement. Borne Fontaine (BF) et pompe be pour un accès à l'eau potable ce qui évite certaines maladies </t>
  </si>
  <si>
    <t>Rupture des infrastructures d'assainissement : Les systèmes d'assainissement (égouts, fosses septiques) peuvent être endommagés ou submergés, ce qui entraîne une mauvaise gestion des eaux usées. Cela peut causer la propagation de maladies liées à l'assainissement, telles que les infections cutanées et les maladies transmises par les selles ; Expose les populations à des risques sanitaire ; Contamination de l'eau potable : Les inondations causées par le cyclone peuvent contaminer les sources d'eau potable (puits, rivières, réservoirs), rendant l'eau impropre à la consommation. La présence de débris, de produits chimiques et de matières fécales peut augmenter le risque de maladies hydriques telles que la diarrhée, le choléra et d'autres infections gastro-intestinales.
Rupture des infrastructures d'assainissement : Les systèmes d'assainissement (égouts, fosses septiques) peuvent être endommagés ou submergés, ce qui entraîne une mauvaise gestion des eaux usées. Cela peut causer la propagation de maladies liées à l'assainissement, telles que les infections cutanées et les maladies transmises par les selles.</t>
  </si>
  <si>
    <t xml:space="preserve">&gt;Montée du niveau de la mer , et déborde au communautés ;
&gt; Manque d’alternatives pour les populations à faible revenu. 
&gt;Utilisation de matériaux non résistants à l'eau, comme le bois non traité, la terre battue, ou les briques non stabilisées. 
&gt; Absence de surélévation par rapport au niveau du sol, ce qui expose directement le logement aux inondations.
&gt; Mauvaise conception des fondations, entraînant des effondrements ou des infiltrations. </t>
  </si>
  <si>
    <t>Certains d'entre eux possedent de maison en dure , en parpaing , certains gens connaît les techniques traditionnelles pour renforcer les habitations contre le cyclone en utilisant des ressources naturelles ; Les efforts de renforcement des bâtiments, notamment les maisons, peuvent inclure la consolidation des structures, le renforcement des toitures et des fenêtres pour mieux résister aux conditions extrêmes.</t>
  </si>
  <si>
    <t>Les bâtiments mal conçus ou construits avec des matériaux faibles (comme des toits en tôle, des murs en briques non renforcées, etc.) sont vulnérables aux vents violents, à la pression de l'air et aux forces d'impact des débris soufflés. Cela peut entraîner l'effondrement partiel ou total des habitations.
Impact : Des destructions massives de logements, des blessures et des pertes humaines.</t>
  </si>
  <si>
    <t xml:space="preserve">&gt;Utilisation des écoles comme abris temporaires, rendant leur réouverture difficile. 
&gt; Canaux bouchés et remplis d'ordures , Bâtiments endommagés ou détruits, interrompant les activités éducatives et administratives.
&gt;Déracinement de la Borne à Fontaine  </t>
  </si>
  <si>
    <t xml:space="preserve">BF, EPP ; Eglise Anglikanina utilisés comme des hébergements et accueils temporaires 
Hébèrgement entre voisins  </t>
  </si>
  <si>
    <t xml:space="preserve">Interruption des services essentiels :
Coupures d'électricité, d'eau potable, et de communication.
Pénurie de biens essentiels (nourriture, médicaments).               Crues soudaines et inondations dans les zones basses.
Risque pour les personnes en raison des débris volants.
Élévation rapide du niveau de la mer, causant des inondations côtières.
Dommages aux bâtiments, infrastructures et habitations.
Dégâts dans les communautés côtières.
</t>
  </si>
  <si>
    <t xml:space="preserve">&gt;Surcharge des établissements de santé, entraînant des délais de traitement ou l'absence de soins pour certaines maladies non liées à l'épidémie.Interruption des services de santé essentiels (vaccination, suivi des maladies chroniques, maternité) ; Diminution de la qualité des soins pour tous les patients, y compris ceux atteints d'autres maladies. Mortalité accrue en raison de retards dans les soins ou du manque de ressources ; </t>
  </si>
  <si>
    <t>&gt;Existence de aide soignante paramed pour une prise en charge médical , Réseaux de volontaires CRM locaux pour soutenir les efforts de secours.</t>
  </si>
  <si>
    <t>Diffusion de rumeurs ou de conseils médicaux erronés qui aggravent la situation et retardent les actions adéquates . -Ruptures de stock en médicaments, vaccins, matériel médical, et équipements de protection -Les soins pour d'autres pathologies (chroniques ou urgentes) sont retardés ou négligés.auto-médication , -Infections fréquentes chez les professionnels de santé, conduisant à un manque de personnel qualifié.-Absence de structures de santé adéquates pour répondre à la demande croissante.</t>
  </si>
  <si>
    <t>Stabilité de production agricole , tranquilité d'ésprit , dimunition de propagation des maladies , dévéloppement et propreté de la communauté</t>
  </si>
  <si>
    <t>Nettoyage de canal d'évacuation , constructions des WC en dure , Campagnes communautaires pour éviter l’accumulation des déchets, Formation des leader communautaire ,Impliquer les chefs de village, responsables religieux et associations locales dans la prévention et la gestion des épidémies.Sensibilisation de la communauté pour la gestion de déchets et de n'est pas faire de l'automedication , addition du personnel santé (infirmier , docteur ,AC etc)</t>
  </si>
  <si>
    <t xml:space="preserve">Réductions des dégats materiels ; humaines et environnementaux , dimunition de diffucultés financieres , innondations , maladie ; Limitation des impacts sociaux et économiques à court et long terme ; </t>
  </si>
  <si>
    <t>Réduction de la propagation de l'épidémie ; Les nombres de personnes contaminés et des sinistrés diminue ainsi que le taux des mortalités ; Bonne maitrise de la situation pour gérer les crises futures ;</t>
  </si>
  <si>
    <t xml:space="preserve">demande une collaboration avec la commune , ainsi qu'aux ONG ou association ; Outils complets  (ciment , béches , la pelle , la bourrettes ) , des techniciens ; </t>
  </si>
  <si>
    <t xml:space="preserve">Bac à ordures , mégaphone , téchniciens , Formateurs spécialisés , téchniciens en WASH et assanissement , demande des aides aux ONG et à la commune , </t>
  </si>
  <si>
    <t xml:space="preserve">Outils de nettoyages , Formation des Equipe Local des Sécours (ELS) , materiels de sensibilisations , collaboration avec la CRM ,Site d'évacuation assez suffisant pour les sinistrées </t>
  </si>
  <si>
    <t>Sensibilisations , formations ,  ingénieurs</t>
  </si>
  <si>
    <t xml:space="preserve"> Curage de canal d'évacuation , Construction des passerelles en planche pour le passage des élèves  , construction des WC public en dure , amélioration du marchés communautaires , Campagnes communautaires pour éviter l’accumulation des déchets, Installation de points de distribution d'eau potable.
Apporter un soutien financier et matériel aux familles touchées</t>
  </si>
  <si>
    <t>Pavage ou renforcement des chemins critiques pour garantir l’accès en toute saison ; Éducation communautaire : Former les résidents à reconnaître les signes avant-coureurs d'un cyclone et aux mesures à prendre en cas d'alerte ; Renforcer les murs pour qu'ils puissent résister à une certaine pression d'eau et bâtir les murs étanches pour protéger les équipements , stockage des nourritures ;  Renforcement des maisons ; Prévoir des espaces spécifiques pour les sinistrés, évitant l’utilisation prolongée des écoles.Renforcer les systèmes d'alerte précoce pour permettre une évacuation rapide.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</si>
</sst>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sz val="8"/>
      <color theme="0"/>
      <name val="Arial"/>
      <family val="2"/>
    </font>
    <font>
      <sz val="10"/>
      <color rgb="FFFFFFFF"/>
      <name val="Arial"/>
      <family val="2"/>
    </font>
    <font>
      <sz val="10"/>
      <name val="Arial"/>
      <family val="2"/>
    </font>
    <font>
      <sz val="11"/>
      <name val="Arial"/>
      <family val="2"/>
    </font>
  </fonts>
  <fills count="18">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7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s>
  <cellStyleXfs count="1">
    <xf numFmtId="0" fontId="0" fillId="0" borderId="0"/>
  </cellStyleXfs>
  <cellXfs count="341">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6" borderId="4" xfId="0" applyFont="1" applyFill="1" applyBorder="1" applyAlignment="1">
      <alignment vertical="top" wrapText="1"/>
    </xf>
    <xf numFmtId="0" fontId="3" fillId="6" borderId="4" xfId="0" applyFont="1" applyFill="1" applyBorder="1"/>
    <xf numFmtId="0" fontId="8" fillId="7" borderId="13" xfId="0" applyFont="1" applyFill="1" applyBorder="1" applyAlignment="1">
      <alignment vertical="center"/>
    </xf>
    <xf numFmtId="0" fontId="3" fillId="7" borderId="13" xfId="0" applyFont="1" applyFill="1" applyBorder="1" applyAlignment="1">
      <alignment vertical="center"/>
    </xf>
    <xf numFmtId="0" fontId="9" fillId="6" borderId="4" xfId="0" applyFont="1" applyFill="1" applyBorder="1" applyAlignment="1">
      <alignment horizontal="right" vertical="center"/>
    </xf>
    <xf numFmtId="0" fontId="9" fillId="7" borderId="13" xfId="0" applyFont="1" applyFill="1" applyBorder="1" applyAlignment="1">
      <alignment vertical="center"/>
    </xf>
    <xf numFmtId="0" fontId="9" fillId="6"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9" borderId="4" xfId="0" applyFont="1" applyFill="1" applyBorder="1" applyAlignment="1">
      <alignment vertical="center"/>
    </xf>
    <xf numFmtId="0" fontId="14" fillId="5" borderId="30" xfId="0" applyFont="1" applyFill="1" applyBorder="1"/>
    <xf numFmtId="2" fontId="3" fillId="6" borderId="33" xfId="0" applyNumberFormat="1" applyFont="1" applyFill="1" applyBorder="1"/>
    <xf numFmtId="2" fontId="3" fillId="10" borderId="33" xfId="0" applyNumberFormat="1" applyFont="1" applyFill="1" applyBorder="1"/>
    <xf numFmtId="2" fontId="3" fillId="6"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6" borderId="40" xfId="0" applyFont="1" applyFill="1" applyBorder="1" applyAlignment="1">
      <alignment horizontal="center" vertical="center"/>
    </xf>
    <xf numFmtId="0" fontId="9" fillId="10"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0"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4" borderId="40" xfId="0" applyFont="1" applyFill="1" applyBorder="1" applyAlignment="1">
      <alignment vertical="top" wrapText="1"/>
    </xf>
    <xf numFmtId="0" fontId="3" fillId="0" borderId="25" xfId="0" applyFont="1" applyBorder="1"/>
    <xf numFmtId="3" fontId="3" fillId="6" borderId="13" xfId="0" applyNumberFormat="1" applyFont="1" applyFill="1" applyBorder="1" applyAlignment="1">
      <alignment vertical="center" wrapText="1"/>
    </xf>
    <xf numFmtId="3" fontId="3" fillId="6" borderId="13" xfId="0" applyNumberFormat="1" applyFont="1" applyFill="1" applyBorder="1" applyAlignment="1">
      <alignment vertical="center"/>
    </xf>
    <xf numFmtId="3" fontId="9" fillId="10"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0" borderId="40" xfId="0" applyFont="1" applyFill="1" applyBorder="1" applyAlignment="1">
      <alignment vertical="top" wrapText="1"/>
    </xf>
    <xf numFmtId="164" fontId="15" fillId="6" borderId="40" xfId="0" applyNumberFormat="1" applyFont="1" applyFill="1" applyBorder="1" applyAlignment="1">
      <alignment vertical="center" wrapText="1"/>
    </xf>
    <xf numFmtId="164" fontId="15" fillId="6" borderId="40" xfId="0" applyNumberFormat="1" applyFont="1" applyFill="1" applyBorder="1" applyAlignment="1">
      <alignment vertical="center"/>
    </xf>
    <xf numFmtId="164" fontId="16" fillId="10"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4"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6" borderId="45" xfId="0" applyNumberFormat="1" applyFont="1" applyFill="1" applyBorder="1" applyAlignment="1">
      <alignment vertical="center" wrapText="1"/>
    </xf>
    <xf numFmtId="164" fontId="9" fillId="10"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8" borderId="4" xfId="0" applyFont="1" applyFill="1" applyBorder="1" applyAlignment="1">
      <alignment horizontal="left" vertical="top" wrapText="1"/>
    </xf>
    <xf numFmtId="0" fontId="3" fillId="0" borderId="0" xfId="0" applyFont="1" applyAlignment="1">
      <alignment horizontal="center" vertical="center" wrapText="1"/>
    </xf>
    <xf numFmtId="0" fontId="10" fillId="4"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9" borderId="49" xfId="0" applyFont="1" applyFill="1" applyBorder="1" applyAlignment="1">
      <alignment vertical="center"/>
    </xf>
    <xf numFmtId="0" fontId="10" fillId="9" borderId="49" xfId="0" applyFont="1" applyFill="1" applyBorder="1" applyAlignment="1">
      <alignment vertical="center"/>
    </xf>
    <xf numFmtId="0" fontId="10" fillId="2" borderId="49" xfId="0" applyFont="1" applyFill="1" applyBorder="1" applyAlignment="1">
      <alignment vertical="center"/>
    </xf>
    <xf numFmtId="0" fontId="3" fillId="9" borderId="4" xfId="0" applyFont="1" applyFill="1" applyBorder="1"/>
    <xf numFmtId="0" fontId="9" fillId="10" borderId="40" xfId="0" applyFont="1" applyFill="1" applyBorder="1" applyAlignment="1">
      <alignment vertical="center"/>
    </xf>
    <xf numFmtId="0" fontId="9" fillId="2" borderId="4" xfId="0" applyFont="1" applyFill="1" applyBorder="1" applyAlignment="1">
      <alignment vertical="center"/>
    </xf>
    <xf numFmtId="0" fontId="9" fillId="9" borderId="4" xfId="0" applyFont="1" applyFill="1" applyBorder="1" applyAlignment="1">
      <alignment vertical="center"/>
    </xf>
    <xf numFmtId="0" fontId="22" fillId="11" borderId="49" xfId="0" applyFont="1" applyFill="1" applyBorder="1" applyAlignment="1">
      <alignment vertical="center"/>
    </xf>
    <xf numFmtId="0" fontId="10" fillId="11" borderId="49" xfId="0" applyFont="1" applyFill="1" applyBorder="1" applyAlignment="1">
      <alignment vertical="center"/>
    </xf>
    <xf numFmtId="0" fontId="3" fillId="11" borderId="4" xfId="0" applyFont="1" applyFill="1" applyBorder="1"/>
    <xf numFmtId="0" fontId="9" fillId="11"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6" borderId="13" xfId="0" applyFont="1" applyFill="1" applyBorder="1" applyAlignment="1">
      <alignment horizontal="center" vertical="center"/>
    </xf>
    <xf numFmtId="0" fontId="3" fillId="4" borderId="4" xfId="0" applyFont="1" applyFill="1" applyBorder="1" applyAlignment="1">
      <alignment horizontal="center"/>
    </xf>
    <xf numFmtId="0" fontId="3" fillId="6" borderId="4" xfId="0" applyFont="1" applyFill="1" applyBorder="1" applyAlignment="1">
      <alignment horizontal="left" vertical="top"/>
    </xf>
    <xf numFmtId="0" fontId="3" fillId="5" borderId="4" xfId="0" applyFont="1" applyFill="1" applyBorder="1"/>
    <xf numFmtId="0" fontId="9" fillId="6" borderId="40" xfId="0" applyFont="1" applyFill="1" applyBorder="1" applyAlignment="1">
      <alignment vertical="center"/>
    </xf>
    <xf numFmtId="0" fontId="9" fillId="5" borderId="4" xfId="0" applyFont="1" applyFill="1" applyBorder="1" applyAlignment="1">
      <alignment vertical="center"/>
    </xf>
    <xf numFmtId="0" fontId="25" fillId="9" borderId="4" xfId="0" applyFont="1" applyFill="1" applyBorder="1" applyAlignment="1">
      <alignment vertical="center"/>
    </xf>
    <xf numFmtId="0" fontId="21" fillId="9" borderId="4" xfId="0" applyFont="1" applyFill="1" applyBorder="1" applyAlignment="1">
      <alignment vertical="center"/>
    </xf>
    <xf numFmtId="0" fontId="26" fillId="9" borderId="4" xfId="0" applyFont="1" applyFill="1" applyBorder="1" applyAlignment="1">
      <alignment vertical="center"/>
    </xf>
    <xf numFmtId="0" fontId="10" fillId="13" borderId="40" xfId="0" applyFont="1" applyFill="1" applyBorder="1" applyAlignment="1">
      <alignment vertical="top" wrapText="1"/>
    </xf>
    <xf numFmtId="0" fontId="3" fillId="0" borderId="26" xfId="0" applyFont="1" applyBorder="1"/>
    <xf numFmtId="2" fontId="9" fillId="6" borderId="43" xfId="0" applyNumberFormat="1" applyFont="1" applyFill="1" applyBorder="1" applyAlignment="1">
      <alignment horizontal="center" vertical="center"/>
    </xf>
    <xf numFmtId="0" fontId="4" fillId="2" borderId="4" xfId="0" applyFont="1" applyFill="1" applyBorder="1" applyAlignment="1">
      <alignment vertical="center"/>
    </xf>
    <xf numFmtId="0" fontId="25" fillId="2" borderId="4" xfId="0" applyFont="1" applyFill="1" applyBorder="1" applyAlignment="1">
      <alignment vertical="center"/>
    </xf>
    <xf numFmtId="0" fontId="21" fillId="2" borderId="4" xfId="0" applyFont="1" applyFill="1" applyBorder="1" applyAlignment="1">
      <alignment vertical="center"/>
    </xf>
    <xf numFmtId="0" fontId="26" fillId="2" borderId="4" xfId="0" applyFont="1" applyFill="1" applyBorder="1" applyAlignment="1">
      <alignment vertical="center"/>
    </xf>
    <xf numFmtId="0" fontId="4" fillId="11" borderId="4" xfId="0" applyFont="1" applyFill="1" applyBorder="1" applyAlignment="1">
      <alignment vertical="center"/>
    </xf>
    <xf numFmtId="0" fontId="21" fillId="11" borderId="4" xfId="0" applyFont="1" applyFill="1" applyBorder="1" applyAlignment="1">
      <alignment vertical="center"/>
    </xf>
    <xf numFmtId="0" fontId="26" fillId="11" borderId="4" xfId="0" applyFont="1" applyFill="1" applyBorder="1" applyAlignment="1">
      <alignment vertical="center"/>
    </xf>
    <xf numFmtId="2" fontId="3" fillId="0" borderId="0" xfId="0" applyNumberFormat="1" applyFont="1"/>
    <xf numFmtId="0" fontId="3" fillId="0" borderId="0" xfId="0" quotePrefix="1" applyFont="1"/>
    <xf numFmtId="0" fontId="25" fillId="11" borderId="4" xfId="0" applyFont="1" applyFill="1" applyBorder="1" applyAlignment="1">
      <alignment vertical="center"/>
    </xf>
    <xf numFmtId="0" fontId="9" fillId="10" borderId="56" xfId="0" applyFont="1" applyFill="1" applyBorder="1" applyAlignment="1">
      <alignment vertical="center" wrapText="1"/>
    </xf>
    <xf numFmtId="0" fontId="27" fillId="6" borderId="57" xfId="0" applyFont="1" applyFill="1" applyBorder="1" applyAlignment="1">
      <alignment horizontal="left" vertical="center" wrapText="1"/>
    </xf>
    <xf numFmtId="0" fontId="27" fillId="6" borderId="58" xfId="0" applyFont="1" applyFill="1" applyBorder="1" applyAlignment="1">
      <alignment horizontal="left" vertical="center" wrapText="1"/>
    </xf>
    <xf numFmtId="0" fontId="27" fillId="6" borderId="43" xfId="0" applyFont="1" applyFill="1" applyBorder="1" applyAlignment="1">
      <alignment horizontal="left" vertical="center" wrapText="1"/>
    </xf>
    <xf numFmtId="0" fontId="3" fillId="6" borderId="56" xfId="0" applyFont="1" applyFill="1" applyBorder="1" applyAlignment="1">
      <alignment horizontal="left" vertical="top"/>
    </xf>
    <xf numFmtId="0" fontId="3" fillId="6" borderId="59" xfId="0" applyFont="1" applyFill="1" applyBorder="1" applyAlignment="1">
      <alignment horizontal="left" vertical="top"/>
    </xf>
    <xf numFmtId="0" fontId="9" fillId="6" borderId="56" xfId="0" applyFont="1" applyFill="1" applyBorder="1" applyAlignment="1">
      <alignment vertical="center" wrapText="1"/>
    </xf>
    <xf numFmtId="0" fontId="27"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7"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3" borderId="40" xfId="0" applyNumberFormat="1" applyFont="1" applyFill="1" applyBorder="1" applyAlignment="1">
      <alignment horizontal="center" vertical="center" wrapText="1"/>
    </xf>
    <xf numFmtId="0" fontId="27" fillId="10" borderId="40" xfId="0" applyFont="1" applyFill="1" applyBorder="1" applyAlignment="1">
      <alignment horizontal="left" vertical="center" wrapText="1"/>
    </xf>
    <xf numFmtId="2" fontId="9" fillId="5" borderId="40" xfId="0" applyNumberFormat="1" applyFont="1" applyFill="1" applyBorder="1" applyAlignment="1">
      <alignment horizontal="center" vertical="center" wrapText="1"/>
    </xf>
    <xf numFmtId="0" fontId="9" fillId="0" borderId="40" xfId="0" applyFont="1" applyBorder="1"/>
    <xf numFmtId="0" fontId="3" fillId="14" borderId="60" xfId="0" applyFont="1" applyFill="1" applyBorder="1"/>
    <xf numFmtId="0" fontId="3" fillId="15" borderId="60" xfId="0" applyFont="1" applyFill="1" applyBorder="1"/>
    <xf numFmtId="0" fontId="3" fillId="0" borderId="40" xfId="0" applyFont="1" applyBorder="1" applyAlignment="1">
      <alignment horizontal="center"/>
    </xf>
    <xf numFmtId="0" fontId="3" fillId="16"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2" fillId="0" borderId="0" xfId="0" applyFont="1"/>
    <xf numFmtId="0" fontId="1" fillId="2" borderId="4" xfId="0" applyFont="1" applyFill="1" applyBorder="1" applyAlignment="1">
      <alignment vertical="center"/>
    </xf>
    <xf numFmtId="0" fontId="10" fillId="4"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3" borderId="66" xfId="0" applyFont="1" applyFill="1" applyBorder="1" applyAlignment="1">
      <alignment vertical="top" wrapText="1"/>
    </xf>
    <xf numFmtId="0" fontId="22" fillId="17" borderId="66" xfId="0" applyFont="1" applyFill="1" applyBorder="1" applyAlignment="1">
      <alignment vertical="top" wrapText="1"/>
    </xf>
    <xf numFmtId="0" fontId="11" fillId="10" borderId="70" xfId="0" applyFont="1" applyFill="1" applyBorder="1" applyAlignment="1">
      <alignment vertical="center" wrapText="1"/>
    </xf>
    <xf numFmtId="0" fontId="3" fillId="0" borderId="26" xfId="0" applyFont="1" applyBorder="1" applyAlignment="1">
      <alignment wrapText="1"/>
    </xf>
    <xf numFmtId="0" fontId="3" fillId="10" borderId="70" xfId="0" applyFont="1" applyFill="1" applyBorder="1" applyAlignment="1">
      <alignment wrapText="1"/>
    </xf>
    <xf numFmtId="0" fontId="9" fillId="10"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0" borderId="70" xfId="0" applyNumberFormat="1" applyFont="1" applyFill="1" applyBorder="1" applyAlignment="1">
      <alignment horizontal="center" vertical="center"/>
    </xf>
    <xf numFmtId="0" fontId="3" fillId="6" borderId="70" xfId="0" applyFont="1" applyFill="1" applyBorder="1" applyAlignment="1">
      <alignment vertical="center" wrapText="1"/>
    </xf>
    <xf numFmtId="0" fontId="3" fillId="6" borderId="70" xfId="0" applyFont="1" applyFill="1" applyBorder="1" applyAlignment="1">
      <alignment wrapText="1"/>
    </xf>
    <xf numFmtId="0" fontId="9" fillId="6" borderId="70" xfId="0" applyFont="1" applyFill="1" applyBorder="1" applyAlignment="1">
      <alignment horizontal="center" vertical="center" wrapText="1"/>
    </xf>
    <xf numFmtId="2" fontId="9" fillId="6" borderId="70" xfId="0" applyNumberFormat="1" applyFont="1" applyFill="1" applyBorder="1" applyAlignment="1">
      <alignment horizontal="center" vertical="center"/>
    </xf>
    <xf numFmtId="0" fontId="3" fillId="10"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7" fillId="0" borderId="40" xfId="0" applyFont="1" applyBorder="1" applyAlignment="1">
      <alignment vertical="center" wrapText="1"/>
    </xf>
    <xf numFmtId="0" fontId="7" fillId="5" borderId="4" xfId="0" applyFont="1" applyFill="1" applyBorder="1" applyAlignment="1">
      <alignment vertical="top" wrapText="1"/>
    </xf>
    <xf numFmtId="0" fontId="14" fillId="6" borderId="4" xfId="0" applyFont="1" applyFill="1" applyBorder="1" applyAlignment="1">
      <alignment vertical="center"/>
    </xf>
    <xf numFmtId="0" fontId="9" fillId="10" borderId="4" xfId="0" applyFont="1" applyFill="1" applyBorder="1" applyAlignment="1">
      <alignment vertical="top" wrapText="1"/>
    </xf>
    <xf numFmtId="0" fontId="3" fillId="6" borderId="13" xfId="0" applyFont="1" applyFill="1" applyBorder="1"/>
    <xf numFmtId="0" fontId="3" fillId="6" borderId="13" xfId="0" applyFont="1" applyFill="1" applyBorder="1" applyAlignment="1">
      <alignment wrapText="1"/>
    </xf>
    <xf numFmtId="0" fontId="3" fillId="6" borderId="13" xfId="0" applyFont="1" applyFill="1" applyBorder="1" applyAlignment="1">
      <alignment vertical="top" wrapText="1"/>
    </xf>
    <xf numFmtId="0" fontId="9" fillId="0" borderId="0" xfId="0" applyFont="1"/>
    <xf numFmtId="0" fontId="4" fillId="9" borderId="48" xfId="0" applyFont="1" applyFill="1" applyBorder="1" applyAlignment="1">
      <alignment vertical="center"/>
    </xf>
    <xf numFmtId="0" fontId="37"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6" borderId="4" xfId="0" applyFont="1" applyFill="1" applyBorder="1" applyAlignment="1">
      <alignment horizontal="center"/>
    </xf>
    <xf numFmtId="0" fontId="13" fillId="0" borderId="0" xfId="0" applyFont="1" applyAlignment="1">
      <alignment horizontal="center" vertical="center" wrapText="1"/>
    </xf>
    <xf numFmtId="0" fontId="10" fillId="13" borderId="40" xfId="0" applyFont="1" applyFill="1" applyBorder="1" applyAlignment="1">
      <alignment horizontal="center" vertical="top" wrapText="1"/>
    </xf>
    <xf numFmtId="2" fontId="9" fillId="6" borderId="40" xfId="0" applyNumberFormat="1" applyFont="1" applyFill="1" applyBorder="1" applyAlignment="1">
      <alignment horizontal="center" vertical="center" wrapText="1"/>
    </xf>
    <xf numFmtId="2" fontId="9" fillId="10"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9"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1" borderId="4" xfId="0" applyFont="1" applyFill="1" applyBorder="1" applyAlignment="1">
      <alignment horizontal="center" vertical="center"/>
    </xf>
    <xf numFmtId="0" fontId="3" fillId="10" borderId="70" xfId="0" applyFont="1" applyFill="1" applyBorder="1" applyAlignment="1">
      <alignment horizontal="center" vertical="center" wrapText="1"/>
    </xf>
    <xf numFmtId="2" fontId="3" fillId="10" borderId="70" xfId="0" applyNumberFormat="1" applyFont="1" applyFill="1" applyBorder="1" applyAlignment="1">
      <alignment horizontal="center" vertical="center" wrapText="1"/>
    </xf>
    <xf numFmtId="0" fontId="3" fillId="6" borderId="70" xfId="0" applyFont="1" applyFill="1" applyBorder="1" applyAlignment="1">
      <alignment horizontal="center" vertical="center" wrapText="1"/>
    </xf>
    <xf numFmtId="2" fontId="3" fillId="6" borderId="70" xfId="0" applyNumberFormat="1" applyFont="1" applyFill="1" applyBorder="1" applyAlignment="1">
      <alignment horizontal="center" vertical="center" wrapText="1"/>
    </xf>
    <xf numFmtId="0" fontId="5" fillId="10" borderId="31" xfId="0" applyFont="1" applyFill="1" applyBorder="1" applyAlignment="1">
      <alignment horizontal="left"/>
    </xf>
    <xf numFmtId="0" fontId="2" fillId="0" borderId="32" xfId="0" applyFont="1" applyBorder="1"/>
    <xf numFmtId="0" fontId="5" fillId="6" borderId="31" xfId="0" applyFont="1" applyFill="1" applyBorder="1" applyAlignment="1">
      <alignment horizontal="left"/>
    </xf>
    <xf numFmtId="0" fontId="5" fillId="6" borderId="34" xfId="0" applyFont="1" applyFill="1" applyBorder="1" applyAlignment="1">
      <alignment horizontal="left"/>
    </xf>
    <xf numFmtId="0" fontId="2" fillId="0" borderId="35" xfId="0" applyFont="1" applyBorder="1"/>
    <xf numFmtId="0" fontId="14" fillId="5" borderId="28" xfId="0" applyFont="1" applyFill="1" applyBorder="1" applyAlignment="1">
      <alignment horizontal="left" vertical="center"/>
    </xf>
    <xf numFmtId="0" fontId="2" fillId="0" borderId="29"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2" fillId="0" borderId="2" xfId="0" applyFont="1" applyBorder="1"/>
    <xf numFmtId="0" fontId="2" fillId="0" borderId="3" xfId="0" applyFont="1" applyBorder="1"/>
    <xf numFmtId="0" fontId="1" fillId="2" borderId="1" xfId="0" applyFont="1" applyFill="1" applyBorder="1" applyAlignment="1">
      <alignment horizontal="left" vertical="center"/>
    </xf>
    <xf numFmtId="0" fontId="1" fillId="4" borderId="1" xfId="0" applyFont="1" applyFill="1" applyBorder="1" applyAlignment="1">
      <alignment horizontal="left" vertical="center"/>
    </xf>
    <xf numFmtId="0" fontId="7" fillId="5" borderId="5" xfId="0" applyFont="1" applyFill="1" applyBorder="1" applyAlignment="1">
      <alignment horizontal="left" vertical="top"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10" fillId="4" borderId="1" xfId="0" applyFont="1" applyFill="1" applyBorder="1" applyAlignment="1">
      <alignment horizontal="left" vertical="center"/>
    </xf>
    <xf numFmtId="0" fontId="10" fillId="8"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6"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27" fillId="6"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0" borderId="37" xfId="0" applyFont="1" applyFill="1" applyBorder="1" applyAlignment="1">
      <alignment horizontal="center" vertical="center" wrapText="1"/>
    </xf>
    <xf numFmtId="0" fontId="10" fillId="8" borderId="1" xfId="0" applyFont="1" applyFill="1" applyBorder="1" applyAlignment="1">
      <alignment horizontal="center" vertical="top" wrapText="1"/>
    </xf>
    <xf numFmtId="0" fontId="10" fillId="4" borderId="1" xfId="0" applyFont="1" applyFill="1" applyBorder="1" applyAlignment="1">
      <alignment horizontal="left" vertical="top" wrapText="1"/>
    </xf>
    <xf numFmtId="0" fontId="3" fillId="10" borderId="37" xfId="0" applyFont="1" applyFill="1" applyBorder="1" applyAlignment="1">
      <alignment horizontal="left" vertical="top" wrapText="1"/>
    </xf>
    <xf numFmtId="0" fontId="3" fillId="10"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xf>
    <xf numFmtId="0" fontId="10" fillId="4" borderId="25" xfId="0" applyFont="1" applyFill="1" applyBorder="1" applyAlignment="1">
      <alignment horizontal="left" vertical="center"/>
    </xf>
    <xf numFmtId="0" fontId="17" fillId="10" borderId="25" xfId="0" applyFont="1" applyFill="1" applyBorder="1" applyAlignment="1">
      <alignment horizontal="left" vertical="center"/>
    </xf>
    <xf numFmtId="0" fontId="10" fillId="4"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0"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4" borderId="5" xfId="0" applyFont="1" applyFill="1" applyBorder="1" applyAlignment="1">
      <alignment horizontal="left" vertical="top" wrapText="1"/>
    </xf>
    <xf numFmtId="0" fontId="3" fillId="10" borderId="25" xfId="0" applyFont="1" applyFill="1" applyBorder="1" applyAlignment="1">
      <alignment horizontal="center" vertical="center"/>
    </xf>
    <xf numFmtId="0" fontId="9" fillId="10" borderId="25" xfId="0" applyFont="1" applyFill="1" applyBorder="1" applyAlignment="1">
      <alignment horizontal="center" vertical="center"/>
    </xf>
    <xf numFmtId="0" fontId="3" fillId="6"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5" borderId="41" xfId="0" applyFont="1" applyFill="1" applyBorder="1" applyAlignment="1">
      <alignment horizontal="left" vertical="top" wrapText="1"/>
    </xf>
    <xf numFmtId="0" fontId="2" fillId="0" borderId="42" xfId="0" applyFont="1" applyBorder="1"/>
    <xf numFmtId="0" fontId="3" fillId="10" borderId="25" xfId="0" applyFont="1" applyFill="1" applyBorder="1" applyAlignment="1">
      <alignment horizontal="center" vertical="center" wrapText="1"/>
    </xf>
    <xf numFmtId="0" fontId="1" fillId="3" borderId="1" xfId="0" applyFont="1" applyFill="1" applyBorder="1" applyAlignment="1">
      <alignment horizontal="left" vertical="center"/>
    </xf>
    <xf numFmtId="0" fontId="8"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6" borderId="37" xfId="0" applyFont="1" applyFill="1" applyBorder="1" applyAlignment="1">
      <alignment horizontal="left" vertical="top"/>
    </xf>
    <xf numFmtId="0" fontId="37" fillId="6" borderId="37" xfId="0" applyFont="1" applyFill="1" applyBorder="1" applyAlignment="1">
      <alignment horizontal="left" vertical="top" wrapText="1"/>
    </xf>
    <xf numFmtId="0" fontId="3" fillId="0" borderId="0" xfId="0" applyFont="1" applyAlignment="1">
      <alignment horizontal="center"/>
    </xf>
    <xf numFmtId="0" fontId="10" fillId="4" borderId="1" xfId="0" applyFont="1" applyFill="1" applyBorder="1" applyAlignment="1">
      <alignment horizontal="center" vertical="center"/>
    </xf>
    <xf numFmtId="0" fontId="24" fillId="6" borderId="37" xfId="0" applyFont="1" applyFill="1" applyBorder="1" applyAlignment="1">
      <alignment horizontal="left" vertical="top" wrapText="1"/>
    </xf>
    <xf numFmtId="0" fontId="10" fillId="0" borderId="0" xfId="0" applyFont="1" applyAlignment="1">
      <alignment horizontal="left" vertical="center"/>
    </xf>
    <xf numFmtId="0" fontId="23" fillId="6" borderId="37" xfId="0" applyFont="1" applyFill="1" applyBorder="1" applyAlignment="1">
      <alignment vertical="center" wrapText="1"/>
    </xf>
    <xf numFmtId="0" fontId="23" fillId="0" borderId="0" xfId="0" applyFont="1" applyAlignment="1">
      <alignment vertical="center"/>
    </xf>
    <xf numFmtId="0" fontId="37" fillId="6" borderId="37" xfId="0" applyFont="1" applyFill="1" applyBorder="1" applyAlignment="1">
      <alignment horizontal="left" vertical="top"/>
    </xf>
    <xf numFmtId="0" fontId="24" fillId="6" borderId="37" xfId="0" applyFont="1" applyFill="1" applyBorder="1" applyAlignment="1">
      <alignment horizontal="left" vertical="top"/>
    </xf>
    <xf numFmtId="0" fontId="37" fillId="6"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6" borderId="37" xfId="0" applyFont="1" applyFill="1" applyBorder="1" applyAlignment="1">
      <alignment vertical="center"/>
    </xf>
    <xf numFmtId="0" fontId="3" fillId="6" borderId="37" xfId="0" applyFont="1" applyFill="1" applyBorder="1" applyAlignment="1">
      <alignment horizontal="center" wrapText="1"/>
    </xf>
    <xf numFmtId="0" fontId="37" fillId="10" borderId="37" xfId="0" applyFont="1" applyFill="1" applyBorder="1" applyAlignment="1">
      <alignment horizontal="left" vertical="top" wrapText="1"/>
    </xf>
    <xf numFmtId="0" fontId="9" fillId="10" borderId="37" xfId="0" quotePrefix="1" applyFont="1" applyFill="1" applyBorder="1" applyAlignment="1">
      <alignment horizontal="center" vertical="center" wrapText="1"/>
    </xf>
    <xf numFmtId="0" fontId="9" fillId="6" borderId="37" xfId="0" quotePrefix="1" applyFont="1" applyFill="1" applyBorder="1" applyAlignment="1">
      <alignment horizontal="center" vertical="center" wrapText="1"/>
    </xf>
    <xf numFmtId="0" fontId="9" fillId="10" borderId="37" xfId="0" applyFont="1" applyFill="1" applyBorder="1" applyAlignment="1">
      <alignment horizontal="center" vertical="center" wrapText="1"/>
    </xf>
    <xf numFmtId="0" fontId="3" fillId="10" borderId="37" xfId="0" applyFont="1" applyFill="1" applyBorder="1" applyAlignment="1">
      <alignment horizontal="center" wrapText="1"/>
    </xf>
    <xf numFmtId="0" fontId="9" fillId="6" borderId="37" xfId="0" applyFont="1" applyFill="1" applyBorder="1" applyAlignment="1">
      <alignment horizontal="center" vertical="center" wrapText="1"/>
    </xf>
    <xf numFmtId="0" fontId="3" fillId="10" borderId="37" xfId="0" applyFont="1" applyFill="1" applyBorder="1" applyAlignment="1">
      <alignment horizontal="left" vertical="center" wrapText="1"/>
    </xf>
    <xf numFmtId="0" fontId="2" fillId="0" borderId="38" xfId="0" applyFont="1" applyBorder="1" applyAlignment="1">
      <alignment vertical="center"/>
    </xf>
    <xf numFmtId="0" fontId="2" fillId="0" borderId="39" xfId="0" applyFont="1" applyBorder="1" applyAlignment="1">
      <alignment vertical="center"/>
    </xf>
    <xf numFmtId="0" fontId="10" fillId="13" borderId="50" xfId="0" applyFont="1" applyFill="1" applyBorder="1" applyAlignment="1">
      <alignment horizontal="left" vertical="top" wrapText="1"/>
    </xf>
    <xf numFmtId="0" fontId="2" fillId="0" borderId="51" xfId="0" applyFont="1" applyBorder="1"/>
    <xf numFmtId="0" fontId="27" fillId="6" borderId="25" xfId="0" applyFont="1" applyFill="1" applyBorder="1" applyAlignment="1">
      <alignment horizontal="left" vertical="center" wrapText="1"/>
    </xf>
    <xf numFmtId="0" fontId="27" fillId="10" borderId="25" xfId="0" applyFont="1" applyFill="1" applyBorder="1" applyAlignment="1">
      <alignment horizontal="left" vertical="center" wrapText="1"/>
    </xf>
    <xf numFmtId="0" fontId="10" fillId="13" borderId="25" xfId="0" applyFont="1" applyFill="1" applyBorder="1" applyAlignment="1">
      <alignment horizontal="left" vertical="top" wrapText="1"/>
    </xf>
    <xf numFmtId="0" fontId="28" fillId="6" borderId="37" xfId="0" quotePrefix="1" applyFont="1" applyFill="1" applyBorder="1" applyAlignment="1">
      <alignment horizontal="center" vertical="center" wrapText="1"/>
    </xf>
    <xf numFmtId="0" fontId="3" fillId="0" borderId="25" xfId="0" applyFont="1" applyBorder="1" applyAlignment="1">
      <alignment horizontal="center"/>
    </xf>
    <xf numFmtId="0" fontId="3" fillId="6" borderId="37" xfId="0" applyFont="1" applyFill="1" applyBorder="1" applyAlignment="1">
      <alignment horizontal="left" wrapText="1"/>
    </xf>
    <xf numFmtId="0" fontId="24" fillId="10" borderId="37" xfId="0" applyFont="1" applyFill="1" applyBorder="1" applyAlignment="1">
      <alignment horizontal="left" vertical="top" wrapText="1"/>
    </xf>
    <xf numFmtId="0" fontId="4" fillId="11" borderId="1" xfId="0" applyFont="1" applyFill="1" applyBorder="1" applyAlignment="1">
      <alignment horizontal="left" vertical="center"/>
    </xf>
    <xf numFmtId="0" fontId="4" fillId="2" borderId="1" xfId="0" applyFont="1" applyFill="1" applyBorder="1" applyAlignment="1">
      <alignment horizontal="left" vertical="center"/>
    </xf>
    <xf numFmtId="0" fontId="10" fillId="12" borderId="25" xfId="0" applyFont="1" applyFill="1" applyBorder="1" applyAlignment="1">
      <alignment horizontal="left" vertical="top" wrapText="1"/>
    </xf>
    <xf numFmtId="0" fontId="4" fillId="9" borderId="1" xfId="0" applyFont="1" applyFill="1" applyBorder="1" applyAlignment="1">
      <alignment horizontal="left" vertical="center"/>
    </xf>
    <xf numFmtId="0" fontId="14" fillId="7" borderId="1" xfId="0" applyFont="1" applyFill="1" applyBorder="1" applyAlignment="1">
      <alignment horizontal="center" vertical="center"/>
    </xf>
    <xf numFmtId="0" fontId="10" fillId="4" borderId="1" xfId="0" applyFont="1" applyFill="1" applyBorder="1" applyAlignment="1">
      <alignment horizontal="left" vertical="center" wrapText="1"/>
    </xf>
    <xf numFmtId="0" fontId="10" fillId="13" borderId="52" xfId="0" applyFont="1" applyFill="1" applyBorder="1" applyAlignment="1">
      <alignment horizontal="left" vertical="top" wrapText="1"/>
    </xf>
    <xf numFmtId="0" fontId="2" fillId="0" borderId="53" xfId="0" applyFont="1" applyBorder="1"/>
    <xf numFmtId="0" fontId="2" fillId="0" borderId="54" xfId="0" applyFont="1" applyBorder="1"/>
    <xf numFmtId="0" fontId="2" fillId="0" borderId="55" xfId="0" applyFont="1" applyBorder="1" applyAlignment="1">
      <alignment wrapText="1"/>
    </xf>
    <xf numFmtId="0" fontId="3" fillId="6" borderId="56" xfId="0" applyFont="1" applyFill="1" applyBorder="1" applyAlignment="1">
      <alignment horizontal="left" vertical="top" wrapText="1"/>
    </xf>
    <xf numFmtId="0" fontId="2" fillId="0" borderId="59" xfId="0" applyFont="1" applyBorder="1" applyAlignment="1">
      <alignment wrapText="1"/>
    </xf>
    <xf numFmtId="0" fontId="4" fillId="14" borderId="1" xfId="0" applyFont="1" applyFill="1" applyBorder="1" applyAlignment="1">
      <alignment horizontal="left" vertical="center"/>
    </xf>
    <xf numFmtId="0" fontId="9" fillId="0" borderId="25" xfId="0" applyFont="1" applyBorder="1" applyAlignment="1">
      <alignment horizontal="center" vertical="center"/>
    </xf>
    <xf numFmtId="0" fontId="9" fillId="0" borderId="25" xfId="0" applyFont="1" applyBorder="1" applyAlignment="1">
      <alignment horizontal="center"/>
    </xf>
    <xf numFmtId="2" fontId="9" fillId="6" borderId="25" xfId="0" applyNumberFormat="1" applyFont="1" applyFill="1" applyBorder="1" applyAlignment="1">
      <alignment horizontal="center" vertical="center"/>
    </xf>
    <xf numFmtId="0" fontId="10" fillId="13" borderId="25" xfId="0" applyFont="1" applyFill="1" applyBorder="1" applyAlignment="1">
      <alignment horizontal="center" vertical="top" wrapText="1"/>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29"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top" wrapText="1"/>
    </xf>
    <xf numFmtId="0" fontId="23" fillId="7" borderId="1" xfId="0" applyFont="1" applyFill="1" applyBorder="1" applyAlignment="1">
      <alignment horizontal="center" vertical="center"/>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2" fontId="9" fillId="10" borderId="25" xfId="0" applyNumberFormat="1" applyFont="1" applyFill="1" applyBorder="1" applyAlignment="1">
      <alignment horizontal="center" vertical="center"/>
    </xf>
    <xf numFmtId="0" fontId="2" fillId="0" borderId="55" xfId="0" applyFont="1" applyBorder="1"/>
    <xf numFmtId="0" fontId="27" fillId="10" borderId="67" xfId="0" applyFont="1" applyFill="1" applyBorder="1" applyAlignment="1">
      <alignment horizontal="left" vertical="center" wrapText="1"/>
    </xf>
    <xf numFmtId="0" fontId="2" fillId="0" borderId="68" xfId="0" applyFont="1" applyBorder="1"/>
    <xf numFmtId="0" fontId="2" fillId="0" borderId="69" xfId="0" applyFont="1" applyBorder="1"/>
    <xf numFmtId="0" fontId="27" fillId="6" borderId="67" xfId="0" applyFont="1" applyFill="1" applyBorder="1" applyAlignment="1">
      <alignment horizontal="left" vertical="center" wrapText="1"/>
    </xf>
    <xf numFmtId="0" fontId="27" fillId="10" borderId="67" xfId="0" applyFont="1" applyFill="1" applyBorder="1" applyAlignment="1">
      <alignment horizontal="center" vertical="center" wrapText="1"/>
    </xf>
    <xf numFmtId="0" fontId="10" fillId="4" borderId="61" xfId="0" applyFont="1" applyFill="1" applyBorder="1" applyAlignment="1">
      <alignment horizontal="center"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7" fillId="6" borderId="67" xfId="0" applyFont="1" applyFill="1" applyBorder="1" applyAlignment="1">
      <alignment horizontal="center" vertical="center" wrapText="1"/>
    </xf>
    <xf numFmtId="0" fontId="27" fillId="0" borderId="0" xfId="0" applyFont="1" applyAlignment="1">
      <alignment horizontal="left" vertical="center" wrapText="1"/>
    </xf>
    <xf numFmtId="0" fontId="3" fillId="0" borderId="0" xfId="0" applyFont="1" applyAlignment="1">
      <alignment horizontal="center" wrapText="1"/>
    </xf>
    <xf numFmtId="0" fontId="33" fillId="4" borderId="1" xfId="0" applyFont="1" applyFill="1" applyBorder="1" applyAlignment="1">
      <alignment horizontal="left" vertical="center" wrapText="1"/>
    </xf>
    <xf numFmtId="0" fontId="7" fillId="5" borderId="5" xfId="0" applyFont="1" applyFill="1" applyBorder="1" applyAlignment="1">
      <alignment horizontal="center" vertical="top" wrapText="1"/>
    </xf>
  </cellXfs>
  <cellStyles count="1">
    <cellStyle name="Normal" xfId="0" builtinId="0"/>
  </cellStyles>
  <dxfs count="23">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sheetData sheetId="1"/>
      <sheetData sheetId="2"/>
      <sheetData sheetId="3">
        <row r="16">
          <cell r="M16" t="str">
            <v>Cyclone</v>
          </cell>
        </row>
        <row r="32">
          <cell r="C32" t="str">
            <v xml:space="preserve">Epidémies </v>
          </cell>
        </row>
      </sheetData>
      <sheetData sheetId="4"/>
      <sheetData sheetId="5"/>
      <sheetData sheetId="6"/>
      <sheetData sheetId="7">
        <row r="15">
          <cell r="M15" t="str">
            <v>HIGH</v>
          </cell>
        </row>
        <row r="39">
          <cell r="M39" t="str">
            <v>MOYENNE</v>
          </cell>
        </row>
      </sheetData>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abSelected="1" zoomScale="69" zoomScaleNormal="69" workbookViewId="0">
      <selection activeCell="E47" sqref="E47"/>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201" t="s">
        <v>0</v>
      </c>
      <c r="B1" s="199"/>
      <c r="C1" s="199"/>
      <c r="D1" s="199"/>
      <c r="E1" s="199"/>
      <c r="F1" s="199"/>
      <c r="G1" s="199"/>
      <c r="H1" s="199"/>
      <c r="I1" s="200"/>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02" t="s">
        <v>1</v>
      </c>
      <c r="B3" s="199"/>
      <c r="C3" s="199"/>
      <c r="D3" s="199"/>
      <c r="E3" s="199"/>
      <c r="F3" s="199"/>
      <c r="G3" s="199"/>
      <c r="H3" s="199"/>
      <c r="I3" s="200"/>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03" t="s">
        <v>2</v>
      </c>
      <c r="B5" s="204"/>
      <c r="C5" s="205"/>
      <c r="D5" s="6"/>
      <c r="E5" s="7"/>
      <c r="F5" s="7"/>
      <c r="G5" s="7"/>
      <c r="H5" s="7"/>
      <c r="I5" s="7"/>
      <c r="J5" s="3"/>
      <c r="K5" s="5"/>
      <c r="L5" s="5"/>
      <c r="M5" s="5"/>
      <c r="N5" s="5"/>
      <c r="O5" s="5"/>
      <c r="P5" s="5"/>
      <c r="Q5" s="5"/>
      <c r="R5" s="5"/>
      <c r="S5" s="5"/>
      <c r="T5" s="5"/>
      <c r="U5" s="3"/>
      <c r="V5" s="3"/>
      <c r="W5" s="3"/>
      <c r="X5" s="3"/>
      <c r="Y5" s="3"/>
      <c r="Z5" s="3"/>
    </row>
    <row r="6" spans="1:26" ht="31.5" customHeight="1" x14ac:dyDescent="0.3">
      <c r="A6" s="206"/>
      <c r="B6" s="207"/>
      <c r="C6" s="208"/>
      <c r="D6" s="6"/>
      <c r="E6" s="8" t="s">
        <v>221</v>
      </c>
      <c r="F6" s="7"/>
      <c r="G6" s="9" t="s">
        <v>222</v>
      </c>
      <c r="H6" s="7"/>
      <c r="I6" s="7"/>
      <c r="J6" s="3"/>
      <c r="K6" s="5"/>
      <c r="L6" s="5"/>
      <c r="M6" s="5"/>
      <c r="N6" s="5"/>
      <c r="O6" s="5"/>
      <c r="P6" s="5"/>
      <c r="Q6" s="5"/>
      <c r="R6" s="5"/>
      <c r="S6" s="5"/>
      <c r="T6" s="5"/>
      <c r="U6" s="3"/>
      <c r="V6" s="3"/>
      <c r="W6" s="3"/>
      <c r="X6" s="3"/>
      <c r="Y6" s="3"/>
      <c r="Z6" s="3"/>
    </row>
    <row r="7" spans="1:26" ht="9.75" customHeight="1" x14ac:dyDescent="0.3">
      <c r="A7" s="206"/>
      <c r="B7" s="207"/>
      <c r="C7" s="208"/>
      <c r="D7" s="6"/>
      <c r="E7" s="10"/>
      <c r="F7" s="7"/>
      <c r="G7" s="7"/>
      <c r="H7" s="7"/>
      <c r="I7" s="7"/>
      <c r="J7" s="3"/>
      <c r="K7" s="5"/>
      <c r="L7" s="5"/>
      <c r="M7" s="5"/>
      <c r="N7" s="5"/>
      <c r="O7" s="5"/>
      <c r="P7" s="5"/>
      <c r="Q7" s="5"/>
      <c r="R7" s="5"/>
      <c r="S7" s="5"/>
      <c r="T7" s="5"/>
      <c r="U7" s="3"/>
      <c r="V7" s="3"/>
      <c r="W7" s="3"/>
      <c r="X7" s="3"/>
      <c r="Y7" s="3"/>
      <c r="Z7" s="3"/>
    </row>
    <row r="8" spans="1:26" ht="31.5" customHeight="1" x14ac:dyDescent="0.3">
      <c r="A8" s="206"/>
      <c r="B8" s="207"/>
      <c r="C8" s="208"/>
      <c r="D8" s="6"/>
      <c r="E8" s="9" t="s">
        <v>208</v>
      </c>
      <c r="F8" s="7"/>
      <c r="G8" s="9" t="s">
        <v>206</v>
      </c>
      <c r="H8" s="7"/>
      <c r="I8" s="7"/>
      <c r="J8" s="3"/>
      <c r="K8" s="5"/>
      <c r="L8" s="5"/>
      <c r="M8" s="5"/>
      <c r="N8" s="5"/>
      <c r="O8" s="5"/>
      <c r="P8" s="5"/>
      <c r="Q8" s="5"/>
      <c r="R8" s="5"/>
      <c r="S8" s="5"/>
      <c r="T8" s="5"/>
      <c r="U8" s="3"/>
      <c r="V8" s="3"/>
      <c r="W8" s="3"/>
      <c r="X8" s="3"/>
      <c r="Y8" s="3"/>
      <c r="Z8" s="3"/>
    </row>
    <row r="9" spans="1:26" ht="31.5" customHeight="1" x14ac:dyDescent="0.3">
      <c r="A9" s="206"/>
      <c r="B9" s="207"/>
      <c r="C9" s="208"/>
      <c r="D9" s="6"/>
      <c r="E9" s="10"/>
      <c r="F9" s="7"/>
      <c r="G9" s="7"/>
      <c r="H9" s="7"/>
      <c r="I9" s="7"/>
      <c r="J9" s="3"/>
      <c r="K9" s="5"/>
      <c r="L9" s="5"/>
      <c r="M9" s="5"/>
      <c r="N9" s="5"/>
      <c r="O9" s="5"/>
      <c r="P9" s="5"/>
      <c r="Q9" s="5"/>
      <c r="R9" s="5"/>
      <c r="S9" s="5"/>
      <c r="T9" s="5"/>
      <c r="U9" s="3"/>
      <c r="V9" s="3"/>
      <c r="W9" s="3"/>
      <c r="X9" s="3"/>
      <c r="Y9" s="3"/>
      <c r="Z9" s="3"/>
    </row>
    <row r="10" spans="1:26" ht="31.5" customHeight="1" x14ac:dyDescent="0.3">
      <c r="A10" s="206"/>
      <c r="B10" s="207"/>
      <c r="C10" s="208"/>
      <c r="D10" s="6"/>
      <c r="E10" s="11" t="s">
        <v>3</v>
      </c>
      <c r="F10" s="7"/>
      <c r="G10" s="11" t="s">
        <v>205</v>
      </c>
      <c r="H10" s="7"/>
      <c r="I10" s="7"/>
      <c r="J10" s="3"/>
      <c r="K10" s="5"/>
      <c r="L10" s="5"/>
      <c r="M10" s="5"/>
      <c r="N10" s="5"/>
      <c r="O10" s="5"/>
      <c r="P10" s="5"/>
      <c r="Q10" s="5"/>
      <c r="R10" s="5"/>
      <c r="S10" s="5"/>
      <c r="T10" s="5"/>
      <c r="U10" s="3"/>
      <c r="V10" s="3"/>
      <c r="W10" s="3"/>
      <c r="X10" s="3"/>
      <c r="Y10" s="3"/>
      <c r="Z10" s="3"/>
    </row>
    <row r="11" spans="1:26" ht="9.75" customHeight="1" x14ac:dyDescent="0.3">
      <c r="A11" s="206"/>
      <c r="B11" s="207"/>
      <c r="C11" s="208"/>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206"/>
      <c r="B12" s="207"/>
      <c r="C12" s="208"/>
      <c r="D12" s="6"/>
      <c r="E12" s="9" t="s">
        <v>223</v>
      </c>
      <c r="F12" s="7"/>
      <c r="G12" s="11" t="s">
        <v>228</v>
      </c>
      <c r="H12" s="7"/>
      <c r="I12" s="7"/>
      <c r="J12" s="3"/>
      <c r="K12" s="5"/>
      <c r="L12" s="5"/>
      <c r="M12" s="5"/>
      <c r="N12" s="5"/>
      <c r="O12" s="5"/>
      <c r="P12" s="5"/>
      <c r="Q12" s="5"/>
      <c r="R12" s="5"/>
      <c r="S12" s="5"/>
      <c r="T12" s="5"/>
      <c r="U12" s="3"/>
      <c r="V12" s="3"/>
      <c r="W12" s="3"/>
      <c r="X12" s="3"/>
      <c r="Y12" s="3"/>
      <c r="Z12" s="3"/>
    </row>
    <row r="13" spans="1:26" ht="9.75" customHeight="1" x14ac:dyDescent="0.3">
      <c r="A13" s="206"/>
      <c r="B13" s="207"/>
      <c r="C13" s="208"/>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206"/>
      <c r="B14" s="207"/>
      <c r="C14" s="208"/>
      <c r="D14" s="6"/>
      <c r="E14" s="9" t="s">
        <v>224</v>
      </c>
      <c r="F14" s="7"/>
      <c r="G14" s="9" t="s">
        <v>229</v>
      </c>
      <c r="H14" s="7"/>
      <c r="I14" s="7"/>
      <c r="J14" s="3"/>
      <c r="K14" s="5"/>
      <c r="L14" s="5"/>
      <c r="M14" s="5"/>
      <c r="N14" s="5"/>
      <c r="O14" s="5"/>
      <c r="P14" s="5"/>
      <c r="Q14" s="5"/>
      <c r="R14" s="5"/>
      <c r="S14" s="5"/>
      <c r="T14" s="5"/>
      <c r="U14" s="3"/>
      <c r="V14" s="3"/>
      <c r="W14" s="3"/>
      <c r="X14" s="3"/>
      <c r="Y14" s="3"/>
      <c r="Z14" s="3"/>
    </row>
    <row r="15" spans="1:26" ht="9.75" customHeight="1" x14ac:dyDescent="0.3">
      <c r="A15" s="206"/>
      <c r="B15" s="207"/>
      <c r="C15" s="208"/>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206"/>
      <c r="B16" s="207"/>
      <c r="C16" s="208"/>
      <c r="D16" s="6"/>
      <c r="E16" s="9" t="s">
        <v>4</v>
      </c>
      <c r="F16" s="7"/>
      <c r="G16" s="9" t="s">
        <v>5</v>
      </c>
      <c r="H16" s="7"/>
      <c r="I16" s="7"/>
      <c r="J16" s="3"/>
      <c r="K16" s="5"/>
      <c r="L16" s="5"/>
      <c r="M16" s="5"/>
      <c r="N16" s="5"/>
      <c r="O16" s="5"/>
      <c r="P16" s="5"/>
      <c r="Q16" s="5"/>
      <c r="R16" s="5"/>
      <c r="S16" s="5"/>
      <c r="T16" s="5"/>
      <c r="U16" s="3"/>
      <c r="V16" s="3"/>
      <c r="W16" s="3"/>
      <c r="X16" s="3"/>
      <c r="Y16" s="3"/>
      <c r="Z16" s="3"/>
    </row>
    <row r="17" spans="1:26" ht="9.75" customHeight="1" x14ac:dyDescent="0.3">
      <c r="A17" s="209"/>
      <c r="B17" s="210"/>
      <c r="C17" s="211"/>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201" t="s">
        <v>6</v>
      </c>
      <c r="B19" s="199"/>
      <c r="C19" s="199"/>
      <c r="D19" s="199"/>
      <c r="E19" s="199"/>
      <c r="F19" s="199"/>
      <c r="G19" s="199"/>
      <c r="H19" s="199"/>
      <c r="I19" s="200"/>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12" t="s">
        <v>7</v>
      </c>
      <c r="D21" s="199"/>
      <c r="E21" s="199"/>
      <c r="F21" s="199"/>
      <c r="G21" s="200"/>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13" t="s">
        <v>8</v>
      </c>
      <c r="D22" s="214"/>
      <c r="E22" s="214"/>
      <c r="F22" s="214"/>
      <c r="G22" s="215"/>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16" t="s">
        <v>236</v>
      </c>
      <c r="D24" s="217"/>
      <c r="E24" s="217"/>
      <c r="F24" s="217"/>
      <c r="G24" s="218"/>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19"/>
      <c r="D25" s="220"/>
      <c r="E25" s="220"/>
      <c r="F25" s="220"/>
      <c r="G25" s="221"/>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19"/>
      <c r="D26" s="220"/>
      <c r="E26" s="220"/>
      <c r="F26" s="220"/>
      <c r="G26" s="221"/>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19"/>
      <c r="D27" s="220"/>
      <c r="E27" s="220"/>
      <c r="F27" s="220"/>
      <c r="G27" s="221"/>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19"/>
      <c r="D28" s="220"/>
      <c r="E28" s="220"/>
      <c r="F28" s="220"/>
      <c r="G28" s="221"/>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19"/>
      <c r="D29" s="220"/>
      <c r="E29" s="220"/>
      <c r="F29" s="220"/>
      <c r="G29" s="221"/>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19"/>
      <c r="D30" s="220"/>
      <c r="E30" s="220"/>
      <c r="F30" s="220"/>
      <c r="G30" s="221"/>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19"/>
      <c r="D31" s="220"/>
      <c r="E31" s="220"/>
      <c r="F31" s="220"/>
      <c r="G31" s="221"/>
      <c r="H31" s="3"/>
      <c r="I31" s="15"/>
      <c r="J31" s="3"/>
      <c r="K31" s="5"/>
      <c r="L31" s="5"/>
      <c r="M31" s="5"/>
      <c r="N31" s="5"/>
      <c r="O31" s="5"/>
      <c r="P31" s="5"/>
      <c r="Q31" s="5"/>
      <c r="R31" s="5"/>
      <c r="S31" s="5"/>
      <c r="T31" s="5"/>
      <c r="U31" s="3"/>
      <c r="V31" s="3"/>
      <c r="W31" s="3"/>
      <c r="X31" s="3"/>
      <c r="Y31" s="3"/>
      <c r="Z31" s="3"/>
    </row>
    <row r="32" spans="1:26" ht="147" customHeight="1" x14ac:dyDescent="0.3">
      <c r="A32" s="15" t="s">
        <v>9</v>
      </c>
      <c r="B32" s="3"/>
      <c r="C32" s="222"/>
      <c r="D32" s="223"/>
      <c r="E32" s="223"/>
      <c r="F32" s="223"/>
      <c r="G32" s="224"/>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195" t="s">
        <v>10</v>
      </c>
      <c r="L35" s="196"/>
      <c r="M35" s="196"/>
      <c r="N35" s="196"/>
      <c r="O35" s="196"/>
      <c r="P35" s="196"/>
      <c r="Q35" s="196"/>
      <c r="R35" s="197"/>
      <c r="S35" s="5"/>
      <c r="T35" s="5"/>
      <c r="U35" s="3"/>
      <c r="V35" s="3"/>
      <c r="W35" s="3"/>
      <c r="X35" s="3"/>
      <c r="Y35" s="3"/>
      <c r="Z35" s="3"/>
    </row>
    <row r="36" spans="1:26" ht="39.75" customHeight="1" x14ac:dyDescent="0.3">
      <c r="A36" s="198" t="s">
        <v>11</v>
      </c>
      <c r="B36" s="199"/>
      <c r="C36" s="199"/>
      <c r="D36" s="199"/>
      <c r="E36" s="199"/>
      <c r="F36" s="199"/>
      <c r="G36" s="199"/>
      <c r="H36" s="199"/>
      <c r="I36" s="200"/>
      <c r="J36" s="3"/>
      <c r="K36" s="17"/>
      <c r="L36" s="18" t="s">
        <v>12</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tr">
        <f>'3. Dangers'!C16:K16</f>
        <v xml:space="preserve">Inondation </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193" t="s">
        <v>13</v>
      </c>
      <c r="D40" s="194"/>
      <c r="E40" s="24" t="s">
        <v>14</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190" t="s">
        <v>15</v>
      </c>
      <c r="D41" s="189"/>
      <c r="E41" s="25" t="s">
        <v>144</v>
      </c>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188" t="s">
        <v>16</v>
      </c>
      <c r="D42" s="189"/>
      <c r="E42" s="26" t="s">
        <v>144</v>
      </c>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190" t="s">
        <v>17</v>
      </c>
      <c r="D43" s="189"/>
      <c r="E43" s="25" t="s">
        <v>144</v>
      </c>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188" t="s">
        <v>18</v>
      </c>
      <c r="D44" s="189"/>
      <c r="E44" s="26" t="s">
        <v>146</v>
      </c>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190" t="s">
        <v>19</v>
      </c>
      <c r="D45" s="189"/>
      <c r="E45" s="25" t="s">
        <v>146</v>
      </c>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188" t="s">
        <v>20</v>
      </c>
      <c r="D46" s="189"/>
      <c r="E46" s="26" t="s">
        <v>144</v>
      </c>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190" t="s">
        <v>21</v>
      </c>
      <c r="D47" s="189"/>
      <c r="E47" s="25" t="s">
        <v>146</v>
      </c>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188" t="s">
        <v>22</v>
      </c>
      <c r="D48" s="189"/>
      <c r="E48" s="26" t="s">
        <v>146</v>
      </c>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190" t="s">
        <v>23</v>
      </c>
      <c r="D49" s="189"/>
      <c r="E49" s="25" t="s">
        <v>146</v>
      </c>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188" t="s">
        <v>24</v>
      </c>
      <c r="D50" s="189"/>
      <c r="E50" s="26" t="s">
        <v>146</v>
      </c>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191" t="s">
        <v>25</v>
      </c>
      <c r="D51" s="192"/>
      <c r="E51" s="27" t="s">
        <v>146</v>
      </c>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33" customHeight="1" x14ac:dyDescent="0.3">
      <c r="A53" s="3"/>
      <c r="B53" s="3"/>
      <c r="C53" s="170" t="str">
        <f>'[1]3. Dangers'!M16</f>
        <v>Cyclone</v>
      </c>
      <c r="D53" s="3"/>
      <c r="E53" s="3"/>
      <c r="F53" s="3"/>
      <c r="G53" s="3"/>
      <c r="H53" s="3"/>
      <c r="I53" s="3"/>
      <c r="J53" s="3"/>
      <c r="K53" s="5"/>
      <c r="L53" s="5"/>
      <c r="M53" s="5"/>
      <c r="N53" s="5"/>
      <c r="O53" s="5"/>
      <c r="P53" s="5"/>
      <c r="Q53" s="5"/>
      <c r="R53" s="5"/>
      <c r="S53" s="5"/>
      <c r="T53" s="5"/>
      <c r="U53" s="3"/>
      <c r="V53" s="3"/>
      <c r="W53" s="3"/>
      <c r="X53" s="3"/>
      <c r="Y53" s="3"/>
      <c r="Z53" s="3"/>
    </row>
    <row r="54" spans="1:26" ht="12" customHeight="1" x14ac:dyDescent="0.3">
      <c r="A54" s="3"/>
      <c r="B54" s="3"/>
      <c r="C54" s="193" t="s">
        <v>13</v>
      </c>
      <c r="D54" s="194"/>
      <c r="E54" s="24" t="s">
        <v>14</v>
      </c>
      <c r="F54" s="3"/>
      <c r="G54" s="3"/>
      <c r="H54" s="3"/>
      <c r="I54" s="3"/>
      <c r="J54" s="3"/>
      <c r="K54" s="5"/>
      <c r="L54" s="5"/>
      <c r="M54" s="5"/>
      <c r="N54" s="5"/>
      <c r="O54" s="5"/>
      <c r="P54" s="5"/>
      <c r="Q54" s="5"/>
      <c r="R54" s="5"/>
      <c r="S54" s="5"/>
      <c r="T54" s="5"/>
      <c r="U54" s="3"/>
      <c r="V54" s="3"/>
      <c r="W54" s="3"/>
      <c r="X54" s="3"/>
      <c r="Y54" s="3"/>
      <c r="Z54" s="3"/>
    </row>
    <row r="55" spans="1:26" ht="12" customHeight="1" x14ac:dyDescent="0.3">
      <c r="A55" s="3"/>
      <c r="B55" s="3"/>
      <c r="C55" s="190" t="s">
        <v>15</v>
      </c>
      <c r="D55" s="189"/>
      <c r="E55" s="25" t="s">
        <v>144</v>
      </c>
      <c r="F55" s="3"/>
      <c r="G55" s="3"/>
      <c r="H55" s="3"/>
      <c r="I55" s="3"/>
      <c r="J55" s="3"/>
      <c r="K55" s="5"/>
      <c r="L55" s="5"/>
      <c r="M55" s="5"/>
      <c r="N55" s="5"/>
      <c r="O55" s="5"/>
      <c r="P55" s="5"/>
      <c r="Q55" s="5"/>
      <c r="R55" s="5"/>
      <c r="S55" s="5"/>
      <c r="T55" s="5"/>
      <c r="U55" s="3"/>
      <c r="V55" s="3"/>
      <c r="W55" s="3"/>
      <c r="X55" s="3"/>
      <c r="Y55" s="3"/>
      <c r="Z55" s="3"/>
    </row>
    <row r="56" spans="1:26" ht="12" customHeight="1" x14ac:dyDescent="0.3">
      <c r="A56" s="3"/>
      <c r="B56" s="3"/>
      <c r="C56" s="188" t="s">
        <v>16</v>
      </c>
      <c r="D56" s="189"/>
      <c r="E56" s="26" t="s">
        <v>144</v>
      </c>
      <c r="F56" s="3"/>
      <c r="G56" s="3"/>
      <c r="H56" s="3"/>
      <c r="I56" s="3"/>
      <c r="J56" s="3"/>
      <c r="K56" s="5"/>
      <c r="L56" s="5"/>
      <c r="M56" s="5"/>
      <c r="N56" s="5"/>
      <c r="O56" s="5"/>
      <c r="P56" s="5"/>
      <c r="Q56" s="5"/>
      <c r="R56" s="5"/>
      <c r="S56" s="5"/>
      <c r="T56" s="5"/>
      <c r="U56" s="3"/>
      <c r="V56" s="3"/>
      <c r="W56" s="3"/>
      <c r="X56" s="3"/>
      <c r="Y56" s="3"/>
      <c r="Z56" s="3"/>
    </row>
    <row r="57" spans="1:26" ht="21.75" customHeight="1" x14ac:dyDescent="0.3">
      <c r="A57" s="3"/>
      <c r="B57" s="3"/>
      <c r="C57" s="190" t="s">
        <v>17</v>
      </c>
      <c r="D57" s="189"/>
      <c r="E57" s="25" t="s">
        <v>146</v>
      </c>
      <c r="F57" s="3"/>
      <c r="G57" s="3"/>
      <c r="H57" s="3"/>
      <c r="I57" s="3"/>
      <c r="J57" s="3"/>
      <c r="K57" s="5"/>
      <c r="L57" s="5"/>
      <c r="M57" s="5"/>
      <c r="N57" s="5"/>
      <c r="O57" s="5"/>
      <c r="P57" s="5"/>
      <c r="Q57" s="5"/>
      <c r="R57" s="5"/>
      <c r="S57" s="5"/>
      <c r="T57" s="5"/>
      <c r="U57" s="3"/>
      <c r="V57" s="3"/>
      <c r="W57" s="3"/>
      <c r="X57" s="3"/>
      <c r="Y57" s="3"/>
      <c r="Z57" s="3"/>
    </row>
    <row r="58" spans="1:26" ht="12.75" customHeight="1" x14ac:dyDescent="0.3">
      <c r="A58" s="3"/>
      <c r="B58" s="3"/>
      <c r="C58" s="188" t="s">
        <v>18</v>
      </c>
      <c r="D58" s="189"/>
      <c r="E58" s="26" t="s">
        <v>144</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190" t="s">
        <v>19</v>
      </c>
      <c r="D59" s="189"/>
      <c r="E59" s="25" t="s">
        <v>146</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188" t="s">
        <v>20</v>
      </c>
      <c r="D60" s="189"/>
      <c r="E60" s="26" t="s">
        <v>144</v>
      </c>
      <c r="F60" s="3"/>
      <c r="G60" s="3"/>
      <c r="H60" s="3"/>
      <c r="I60" s="3"/>
      <c r="J60" s="3"/>
      <c r="K60" s="5"/>
      <c r="L60" s="5"/>
      <c r="M60" s="5"/>
      <c r="N60" s="5"/>
      <c r="O60" s="5"/>
      <c r="P60" s="5"/>
      <c r="Q60" s="5"/>
      <c r="R60" s="5"/>
      <c r="S60" s="5"/>
      <c r="T60" s="5"/>
      <c r="U60" s="3"/>
      <c r="V60" s="3"/>
      <c r="W60" s="3"/>
      <c r="X60" s="3"/>
      <c r="Y60" s="3"/>
      <c r="Z60" s="3"/>
    </row>
    <row r="61" spans="1:26" ht="12.75" customHeight="1" x14ac:dyDescent="0.3">
      <c r="A61" s="3"/>
      <c r="B61" s="3"/>
      <c r="C61" s="190" t="s">
        <v>21</v>
      </c>
      <c r="D61" s="189"/>
      <c r="E61" s="25" t="str">
        <f>'[1]7. Risque'!$M$39</f>
        <v>MOYENNE</v>
      </c>
      <c r="F61" s="3"/>
      <c r="G61" s="3"/>
      <c r="H61" s="3"/>
      <c r="I61" s="3"/>
      <c r="J61" s="3"/>
      <c r="K61" s="5"/>
      <c r="L61" s="5"/>
      <c r="M61" s="5"/>
      <c r="N61" s="5"/>
      <c r="O61" s="5"/>
      <c r="P61" s="5"/>
      <c r="Q61" s="5"/>
      <c r="R61" s="5"/>
      <c r="S61" s="5"/>
      <c r="T61" s="5"/>
      <c r="U61" s="3"/>
      <c r="V61" s="3"/>
      <c r="W61" s="3"/>
      <c r="X61" s="3"/>
      <c r="Y61" s="3"/>
      <c r="Z61" s="3"/>
    </row>
    <row r="62" spans="1:26" ht="12.75" customHeight="1" x14ac:dyDescent="0.3">
      <c r="A62" s="3"/>
      <c r="B62" s="3"/>
      <c r="C62" s="188" t="s">
        <v>22</v>
      </c>
      <c r="D62" s="189"/>
      <c r="E62" s="26" t="s">
        <v>144</v>
      </c>
      <c r="F62" s="3"/>
      <c r="G62" s="3"/>
      <c r="H62" s="3"/>
      <c r="I62" s="3"/>
      <c r="J62" s="3"/>
      <c r="K62" s="5"/>
      <c r="L62" s="5"/>
      <c r="M62" s="5"/>
      <c r="N62" s="5"/>
      <c r="O62" s="5"/>
      <c r="P62" s="5"/>
      <c r="Q62" s="5"/>
      <c r="R62" s="5"/>
      <c r="S62" s="5"/>
      <c r="T62" s="5"/>
      <c r="U62" s="3"/>
      <c r="V62" s="3"/>
      <c r="W62" s="3"/>
      <c r="X62" s="3"/>
      <c r="Y62" s="3"/>
      <c r="Z62" s="3"/>
    </row>
    <row r="63" spans="1:26" ht="12.75" customHeight="1" x14ac:dyDescent="0.3">
      <c r="A63" s="3"/>
      <c r="B63" s="3"/>
      <c r="C63" s="190" t="s">
        <v>23</v>
      </c>
      <c r="D63" s="189"/>
      <c r="E63" s="25" t="s">
        <v>144</v>
      </c>
      <c r="F63" s="3"/>
      <c r="G63" s="3"/>
      <c r="H63" s="3"/>
      <c r="I63" s="3"/>
      <c r="J63" s="3"/>
      <c r="K63" s="5"/>
      <c r="L63" s="5"/>
      <c r="M63" s="5"/>
      <c r="N63" s="5"/>
      <c r="O63" s="5"/>
      <c r="P63" s="5"/>
      <c r="Q63" s="5"/>
      <c r="R63" s="5"/>
      <c r="S63" s="5"/>
      <c r="T63" s="5"/>
      <c r="U63" s="3"/>
      <c r="V63" s="3"/>
      <c r="W63" s="3"/>
      <c r="X63" s="3"/>
      <c r="Y63" s="3"/>
      <c r="Z63" s="3"/>
    </row>
    <row r="64" spans="1:26" ht="12" customHeight="1" x14ac:dyDescent="0.3">
      <c r="A64" s="3"/>
      <c r="B64" s="3"/>
      <c r="C64" s="188" t="s">
        <v>24</v>
      </c>
      <c r="D64" s="189"/>
      <c r="E64" s="26" t="s">
        <v>146</v>
      </c>
      <c r="F64" s="3"/>
      <c r="G64" s="3"/>
      <c r="H64" s="3"/>
      <c r="I64" s="3"/>
      <c r="J64" s="3"/>
      <c r="K64" s="5"/>
      <c r="L64" s="5"/>
      <c r="M64" s="5"/>
      <c r="N64" s="5"/>
      <c r="O64" s="5"/>
      <c r="P64" s="5"/>
      <c r="Q64" s="5"/>
      <c r="R64" s="5"/>
      <c r="S64" s="5"/>
      <c r="T64" s="5"/>
      <c r="U64" s="3"/>
      <c r="V64" s="3"/>
      <c r="W64" s="3"/>
      <c r="X64" s="3"/>
      <c r="Y64" s="3"/>
      <c r="Z64" s="3"/>
    </row>
    <row r="65" spans="1:26" ht="12" customHeight="1" x14ac:dyDescent="0.3">
      <c r="A65" s="3"/>
      <c r="B65" s="3"/>
      <c r="C65" s="191" t="s">
        <v>25</v>
      </c>
      <c r="D65" s="192"/>
      <c r="E65" s="27" t="s">
        <v>148</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70"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2" customHeight="1" x14ac:dyDescent="0.3">
      <c r="A68" s="3"/>
      <c r="B68" s="3"/>
      <c r="C68" s="193" t="s">
        <v>13</v>
      </c>
      <c r="D68" s="194"/>
      <c r="E68" s="24" t="s">
        <v>14</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190" t="s">
        <v>15</v>
      </c>
      <c r="D69" s="189"/>
      <c r="E69" s="25" t="s">
        <v>144</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188" t="s">
        <v>16</v>
      </c>
      <c r="D70" s="189"/>
      <c r="E70" s="26" t="s">
        <v>144</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190" t="s">
        <v>17</v>
      </c>
      <c r="D71" s="189"/>
      <c r="E71" s="25" t="s">
        <v>144</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188" t="s">
        <v>18</v>
      </c>
      <c r="D72" s="189"/>
      <c r="E72" s="26" t="s">
        <v>146</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190" t="s">
        <v>19</v>
      </c>
      <c r="D73" s="189"/>
      <c r="E73" s="25" t="s">
        <v>144</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188" t="s">
        <v>20</v>
      </c>
      <c r="D74" s="189"/>
      <c r="E74" s="26" t="s">
        <v>146</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190" t="s">
        <v>21</v>
      </c>
      <c r="D75" s="189"/>
      <c r="E75" s="25" t="s">
        <v>146</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188" t="s">
        <v>22</v>
      </c>
      <c r="D76" s="189"/>
      <c r="E76" s="26" t="s">
        <v>146</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190" t="s">
        <v>23</v>
      </c>
      <c r="D77" s="189"/>
      <c r="E77" s="25" t="s">
        <v>146</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188" t="s">
        <v>24</v>
      </c>
      <c r="D78" s="189"/>
      <c r="E78" s="26" t="s">
        <v>146</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191" t="s">
        <v>25</v>
      </c>
      <c r="D79" s="192"/>
      <c r="E79" s="27" t="s">
        <v>146</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12" customHeight="1" x14ac:dyDescent="0.3">
      <c r="A81" s="3"/>
      <c r="B81" s="3"/>
      <c r="C81" s="3"/>
      <c r="D81" s="3"/>
      <c r="E81" s="3"/>
      <c r="F81" s="3"/>
      <c r="G81" s="3"/>
      <c r="H81" s="3"/>
      <c r="I81" s="3"/>
      <c r="J81" s="3"/>
      <c r="K81" s="5"/>
      <c r="L81" s="5"/>
      <c r="M81" s="5"/>
      <c r="N81" s="5"/>
      <c r="O81" s="5"/>
      <c r="P81" s="5"/>
      <c r="Q81" s="5"/>
      <c r="R81" s="5"/>
      <c r="S81" s="5"/>
      <c r="T81" s="5"/>
      <c r="U81" s="3"/>
      <c r="V81" s="3"/>
      <c r="W81" s="3"/>
      <c r="X81" s="3"/>
      <c r="Y81" s="3"/>
      <c r="Z81" s="3"/>
    </row>
    <row r="82" spans="1:26" ht="12" customHeight="1" x14ac:dyDescent="0.3">
      <c r="A82" s="3"/>
      <c r="B82" s="3"/>
      <c r="C82" s="3"/>
      <c r="D82" s="3"/>
      <c r="E82" s="3"/>
      <c r="F82" s="3"/>
      <c r="G82" s="3"/>
      <c r="H82" s="3"/>
      <c r="I82" s="3"/>
      <c r="J82" s="3"/>
      <c r="K82" s="5"/>
      <c r="L82" s="5"/>
      <c r="M82" s="5"/>
      <c r="N82" s="5"/>
      <c r="O82" s="5"/>
      <c r="P82" s="5"/>
      <c r="Q82" s="5"/>
      <c r="R82" s="5"/>
      <c r="S82" s="5"/>
      <c r="T82" s="5"/>
      <c r="U82" s="3"/>
      <c r="V82" s="3"/>
      <c r="W82" s="3"/>
      <c r="X82" s="3"/>
      <c r="Y82" s="3"/>
      <c r="Z82" s="3"/>
    </row>
    <row r="83" spans="1:26" ht="12" customHeight="1" x14ac:dyDescent="0.3">
      <c r="A83" s="3"/>
      <c r="B83" s="3"/>
      <c r="C83" s="3"/>
      <c r="D83" s="3"/>
      <c r="E83" s="3"/>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3"/>
      <c r="D84" s="3"/>
      <c r="E84" s="3"/>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3"/>
      <c r="D85" s="3"/>
      <c r="E85" s="3"/>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3"/>
      <c r="D86" s="3"/>
      <c r="E86" s="3"/>
      <c r="F86" s="3"/>
      <c r="G86" s="3"/>
      <c r="H86" s="3"/>
      <c r="I86" s="3"/>
      <c r="J86" s="3"/>
      <c r="K86" s="5"/>
      <c r="L86" s="5"/>
      <c r="M86" s="5"/>
      <c r="N86" s="5"/>
      <c r="O86" s="5"/>
      <c r="P86" s="5"/>
      <c r="Q86" s="5"/>
      <c r="R86" s="5"/>
      <c r="S86" s="5"/>
      <c r="T86" s="5"/>
      <c r="U86" s="3"/>
      <c r="V86" s="3"/>
      <c r="W86" s="3"/>
      <c r="X86" s="3"/>
      <c r="Y86" s="3"/>
      <c r="Z86" s="3"/>
    </row>
    <row r="87" spans="1:26" ht="12" customHeight="1" x14ac:dyDescent="0.3">
      <c r="A87" s="3"/>
      <c r="B87" s="3"/>
      <c r="C87" s="3"/>
      <c r="D87" s="3"/>
      <c r="E87" s="3"/>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3"/>
      <c r="D88" s="3"/>
      <c r="E88" s="3"/>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3"/>
      <c r="D89" s="3"/>
      <c r="E89" s="3"/>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3"/>
      <c r="D90" s="3"/>
      <c r="E90" s="3"/>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3"/>
      <c r="D91" s="3"/>
      <c r="E91" s="3"/>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3"/>
      <c r="D92" s="3"/>
      <c r="E92" s="3"/>
      <c r="F92" s="3"/>
      <c r="G92" s="3"/>
      <c r="H92" s="3"/>
      <c r="I92" s="3"/>
      <c r="J92" s="3"/>
      <c r="K92" s="5"/>
      <c r="L92" s="5"/>
      <c r="M92" s="5"/>
      <c r="N92" s="5"/>
      <c r="O92" s="5"/>
      <c r="P92" s="5"/>
      <c r="Q92" s="5"/>
      <c r="R92" s="5"/>
      <c r="S92" s="5"/>
      <c r="T92" s="5"/>
      <c r="U92" s="3"/>
      <c r="V92" s="3"/>
      <c r="W92" s="3"/>
      <c r="X92" s="3"/>
      <c r="Y92" s="3"/>
      <c r="Z92" s="3"/>
    </row>
    <row r="93" spans="1:26" ht="12" customHeight="1" x14ac:dyDescent="0.3">
      <c r="A93" s="3"/>
      <c r="B93" s="3"/>
      <c r="C93" s="3"/>
      <c r="D93" s="3"/>
      <c r="E93" s="3"/>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row r="988" spans="1:26" ht="12" customHeight="1" x14ac:dyDescent="0.3">
      <c r="A988" s="3"/>
      <c r="B988" s="3"/>
      <c r="C988" s="3"/>
      <c r="D988" s="3"/>
      <c r="E988" s="3"/>
      <c r="F988" s="3"/>
      <c r="G988" s="3"/>
      <c r="H988" s="3"/>
      <c r="I988" s="3"/>
      <c r="J988" s="3"/>
      <c r="K988" s="5"/>
      <c r="L988" s="5"/>
      <c r="M988" s="5"/>
      <c r="N988" s="5"/>
      <c r="O988" s="5"/>
      <c r="P988" s="5"/>
      <c r="Q988" s="5"/>
      <c r="R988" s="5"/>
      <c r="S988" s="5"/>
      <c r="T988" s="5"/>
      <c r="U988" s="3"/>
      <c r="V988" s="3"/>
      <c r="W988" s="3"/>
      <c r="X988" s="3"/>
      <c r="Y988" s="3"/>
      <c r="Z988" s="3"/>
    </row>
    <row r="989" spans="1:26" ht="12" customHeight="1" x14ac:dyDescent="0.3">
      <c r="A989" s="3"/>
      <c r="B989" s="3"/>
      <c r="C989" s="3"/>
      <c r="D989" s="3"/>
      <c r="E989" s="3"/>
      <c r="F989" s="3"/>
      <c r="G989" s="3"/>
      <c r="H989" s="3"/>
      <c r="I989" s="3"/>
      <c r="J989" s="3"/>
      <c r="K989" s="5"/>
      <c r="L989" s="5"/>
      <c r="M989" s="5"/>
      <c r="N989" s="5"/>
      <c r="O989" s="5"/>
      <c r="P989" s="5"/>
      <c r="Q989" s="5"/>
      <c r="R989" s="5"/>
      <c r="S989" s="5"/>
      <c r="T989" s="5"/>
      <c r="U989" s="3"/>
      <c r="V989" s="3"/>
      <c r="W989" s="3"/>
      <c r="X989" s="3"/>
      <c r="Y989" s="3"/>
      <c r="Z989" s="3"/>
    </row>
    <row r="990" spans="1:26" ht="12" customHeight="1" x14ac:dyDescent="0.3">
      <c r="A990" s="3"/>
      <c r="B990" s="3"/>
      <c r="C990" s="3"/>
      <c r="D990" s="3"/>
      <c r="E990" s="3"/>
      <c r="F990" s="3"/>
      <c r="G990" s="3"/>
      <c r="H990" s="3"/>
      <c r="I990" s="3"/>
      <c r="J990" s="3"/>
      <c r="K990" s="5"/>
      <c r="L990" s="5"/>
      <c r="M990" s="5"/>
      <c r="N990" s="5"/>
      <c r="O990" s="5"/>
      <c r="P990" s="5"/>
      <c r="Q990" s="5"/>
      <c r="R990" s="5"/>
      <c r="S990" s="5"/>
      <c r="T990" s="5"/>
      <c r="U990" s="3"/>
      <c r="V990" s="3"/>
      <c r="W990" s="3"/>
      <c r="X990" s="3"/>
      <c r="Y990" s="3"/>
      <c r="Z990" s="3"/>
    </row>
    <row r="991" spans="1:26" ht="12" customHeight="1" x14ac:dyDescent="0.3">
      <c r="A991" s="3"/>
      <c r="B991" s="3"/>
      <c r="C991" s="3"/>
      <c r="D991" s="3"/>
      <c r="E991" s="3"/>
      <c r="F991" s="3"/>
      <c r="G991" s="3"/>
      <c r="H991" s="3"/>
      <c r="I991" s="3"/>
      <c r="J991" s="3"/>
      <c r="K991" s="5"/>
      <c r="L991" s="5"/>
      <c r="M991" s="5"/>
      <c r="N991" s="5"/>
      <c r="O991" s="5"/>
      <c r="P991" s="5"/>
      <c r="Q991" s="5"/>
      <c r="R991" s="5"/>
      <c r="S991" s="5"/>
      <c r="T991" s="5"/>
      <c r="U991" s="3"/>
      <c r="V991" s="3"/>
      <c r="W991" s="3"/>
      <c r="X991" s="3"/>
      <c r="Y991" s="3"/>
      <c r="Z991" s="3"/>
    </row>
    <row r="992" spans="1:26" ht="12" customHeight="1" x14ac:dyDescent="0.3">
      <c r="A992" s="3"/>
      <c r="B992" s="3"/>
      <c r="C992" s="3"/>
      <c r="D992" s="3"/>
      <c r="E992" s="3"/>
      <c r="F992" s="3"/>
      <c r="G992" s="3"/>
      <c r="H992" s="3"/>
      <c r="I992" s="3"/>
      <c r="J992" s="3"/>
      <c r="K992" s="5"/>
      <c r="L992" s="5"/>
      <c r="M992" s="5"/>
      <c r="N992" s="5"/>
      <c r="O992" s="5"/>
      <c r="P992" s="5"/>
      <c r="Q992" s="5"/>
      <c r="R992" s="5"/>
      <c r="S992" s="5"/>
      <c r="T992" s="5"/>
      <c r="U992" s="3"/>
      <c r="V992" s="3"/>
      <c r="W992" s="3"/>
      <c r="X992" s="3"/>
      <c r="Y992" s="3"/>
      <c r="Z992" s="3"/>
    </row>
    <row r="993" spans="1:26" ht="12" customHeight="1" x14ac:dyDescent="0.3">
      <c r="A993" s="3"/>
      <c r="B993" s="3"/>
      <c r="C993" s="3"/>
      <c r="D993" s="3"/>
      <c r="E993" s="3"/>
      <c r="F993" s="3"/>
      <c r="G993" s="3"/>
      <c r="H993" s="3"/>
      <c r="I993" s="3"/>
      <c r="J993" s="3"/>
      <c r="K993" s="5"/>
      <c r="L993" s="5"/>
      <c r="M993" s="5"/>
      <c r="N993" s="5"/>
      <c r="O993" s="5"/>
      <c r="P993" s="5"/>
      <c r="Q993" s="5"/>
      <c r="R993" s="5"/>
      <c r="S993" s="5"/>
      <c r="T993" s="5"/>
      <c r="U993" s="3"/>
      <c r="V993" s="3"/>
      <c r="W993" s="3"/>
      <c r="X993" s="3"/>
      <c r="Y993" s="3"/>
      <c r="Z993" s="3"/>
    </row>
    <row r="994" spans="1:26" ht="12" customHeight="1" x14ac:dyDescent="0.3">
      <c r="A994" s="3"/>
      <c r="B994" s="3"/>
      <c r="C994" s="3"/>
      <c r="D994" s="3"/>
      <c r="E994" s="3"/>
      <c r="F994" s="3"/>
      <c r="G994" s="3"/>
      <c r="H994" s="3"/>
      <c r="I994" s="3"/>
      <c r="J994" s="3"/>
      <c r="K994" s="5"/>
      <c r="L994" s="5"/>
      <c r="M994" s="5"/>
      <c r="N994" s="5"/>
      <c r="O994" s="5"/>
      <c r="P994" s="5"/>
      <c r="Q994" s="5"/>
      <c r="R994" s="5"/>
      <c r="S994" s="5"/>
      <c r="T994" s="5"/>
      <c r="U994" s="3"/>
      <c r="V994" s="3"/>
      <c r="W994" s="3"/>
      <c r="X994" s="3"/>
      <c r="Y994" s="3"/>
      <c r="Z994" s="3"/>
    </row>
    <row r="995" spans="1:26" ht="12" customHeight="1" x14ac:dyDescent="0.3">
      <c r="A995" s="3"/>
      <c r="B995" s="3"/>
      <c r="C995" s="3"/>
      <c r="D995" s="3"/>
      <c r="E995" s="3"/>
      <c r="F995" s="3"/>
      <c r="G995" s="3"/>
      <c r="H995" s="3"/>
      <c r="I995" s="3"/>
      <c r="J995" s="3"/>
      <c r="K995" s="5"/>
      <c r="L995" s="5"/>
      <c r="M995" s="5"/>
      <c r="N995" s="5"/>
      <c r="O995" s="5"/>
      <c r="P995" s="5"/>
      <c r="Q995" s="5"/>
      <c r="R995" s="5"/>
      <c r="S995" s="5"/>
      <c r="T995" s="5"/>
      <c r="U995" s="3"/>
      <c r="V995" s="3"/>
      <c r="W995" s="3"/>
      <c r="X995" s="3"/>
      <c r="Y995" s="3"/>
      <c r="Z995" s="3"/>
    </row>
    <row r="996" spans="1:26" ht="12" customHeight="1" x14ac:dyDescent="0.3">
      <c r="A996" s="3"/>
      <c r="B996" s="3"/>
      <c r="C996" s="3"/>
      <c r="D996" s="3"/>
      <c r="E996" s="3"/>
      <c r="F996" s="3"/>
      <c r="G996" s="3"/>
      <c r="H996" s="3"/>
      <c r="I996" s="3"/>
      <c r="J996" s="3"/>
      <c r="K996" s="5"/>
      <c r="L996" s="5"/>
      <c r="M996" s="5"/>
      <c r="N996" s="5"/>
      <c r="O996" s="5"/>
      <c r="P996" s="5"/>
      <c r="Q996" s="5"/>
      <c r="R996" s="5"/>
      <c r="S996" s="5"/>
      <c r="T996" s="5"/>
      <c r="U996" s="3"/>
      <c r="V996" s="3"/>
      <c r="W996" s="3"/>
      <c r="X996" s="3"/>
      <c r="Y996" s="3"/>
      <c r="Z996" s="3"/>
    </row>
    <row r="997" spans="1:26" ht="12" customHeight="1" x14ac:dyDescent="0.3">
      <c r="A997" s="3"/>
      <c r="B997" s="3"/>
      <c r="C997" s="3"/>
      <c r="D997" s="3"/>
      <c r="E997" s="3"/>
      <c r="F997" s="3"/>
      <c r="G997" s="3"/>
      <c r="H997" s="3"/>
      <c r="I997" s="3"/>
      <c r="J997" s="3"/>
      <c r="K997" s="5"/>
      <c r="L997" s="5"/>
      <c r="M997" s="5"/>
      <c r="N997" s="5"/>
      <c r="O997" s="5"/>
      <c r="P997" s="5"/>
      <c r="Q997" s="5"/>
      <c r="R997" s="5"/>
      <c r="S997" s="5"/>
      <c r="T997" s="5"/>
      <c r="U997" s="3"/>
      <c r="V997" s="3"/>
      <c r="W997" s="3"/>
      <c r="X997" s="3"/>
      <c r="Y997" s="3"/>
      <c r="Z997" s="3"/>
    </row>
    <row r="998" spans="1:26" ht="12" customHeight="1" x14ac:dyDescent="0.3">
      <c r="A998" s="3"/>
      <c r="B998" s="3"/>
      <c r="C998" s="3"/>
      <c r="D998" s="3"/>
      <c r="E998" s="3"/>
      <c r="F998" s="3"/>
      <c r="G998" s="3"/>
      <c r="H998" s="3"/>
      <c r="I998" s="3"/>
      <c r="J998" s="3"/>
      <c r="K998" s="5"/>
      <c r="L998" s="5"/>
      <c r="M998" s="5"/>
      <c r="N998" s="5"/>
      <c r="O998" s="5"/>
      <c r="P998" s="5"/>
      <c r="Q998" s="5"/>
      <c r="R998" s="5"/>
      <c r="S998" s="5"/>
      <c r="T998" s="5"/>
      <c r="U998" s="3"/>
      <c r="V998" s="3"/>
      <c r="W998" s="3"/>
      <c r="X998" s="3"/>
      <c r="Y998" s="3"/>
      <c r="Z998" s="3"/>
    </row>
    <row r="999" spans="1:26" ht="12" customHeight="1" x14ac:dyDescent="0.3">
      <c r="A999" s="3"/>
      <c r="B999" s="3"/>
      <c r="C999" s="3"/>
      <c r="D999" s="3"/>
      <c r="E999" s="3"/>
      <c r="F999" s="3"/>
      <c r="G999" s="3"/>
      <c r="H999" s="3"/>
      <c r="I999" s="3"/>
      <c r="J999" s="3"/>
      <c r="K999" s="5"/>
      <c r="L999" s="5"/>
      <c r="M999" s="5"/>
      <c r="N999" s="5"/>
      <c r="O999" s="5"/>
      <c r="P999" s="5"/>
      <c r="Q999" s="5"/>
      <c r="R999" s="5"/>
      <c r="S999" s="5"/>
      <c r="T999" s="5"/>
      <c r="U999" s="3"/>
      <c r="V999" s="3"/>
      <c r="W999" s="3"/>
      <c r="X999" s="3"/>
      <c r="Y999" s="3"/>
      <c r="Z999" s="3"/>
    </row>
    <row r="1000" spans="1:26" ht="12" customHeight="1" x14ac:dyDescent="0.3">
      <c r="A1000" s="3"/>
      <c r="B1000" s="3"/>
      <c r="C1000" s="3"/>
      <c r="D1000" s="3"/>
      <c r="E1000" s="3"/>
      <c r="F1000" s="3"/>
      <c r="G1000" s="3"/>
      <c r="H1000" s="3"/>
      <c r="I1000" s="3"/>
      <c r="J1000" s="3"/>
      <c r="K1000" s="5"/>
      <c r="L1000" s="5"/>
      <c r="M1000" s="5"/>
      <c r="N1000" s="5"/>
      <c r="O1000" s="5"/>
      <c r="P1000" s="5"/>
      <c r="Q1000" s="5"/>
      <c r="R1000" s="5"/>
      <c r="S1000" s="5"/>
      <c r="T1000" s="5"/>
      <c r="U1000" s="3"/>
      <c r="V1000" s="3"/>
      <c r="W1000" s="3"/>
      <c r="X1000" s="3"/>
      <c r="Y1000" s="3"/>
      <c r="Z1000" s="3"/>
    </row>
  </sheetData>
  <mergeCells count="45">
    <mergeCell ref="K35:R35"/>
    <mergeCell ref="A36:I36"/>
    <mergeCell ref="A1:I1"/>
    <mergeCell ref="A3:I3"/>
    <mergeCell ref="A5:C17"/>
    <mergeCell ref="A19:I19"/>
    <mergeCell ref="C21:G21"/>
    <mergeCell ref="C22:G22"/>
    <mergeCell ref="C24:G32"/>
    <mergeCell ref="C40:D40"/>
    <mergeCell ref="C41:D41"/>
    <mergeCell ref="C42:D42"/>
    <mergeCell ref="C43:D43"/>
    <mergeCell ref="C44:D44"/>
    <mergeCell ref="C45:D45"/>
    <mergeCell ref="C46:D46"/>
    <mergeCell ref="C47:D47"/>
    <mergeCell ref="C48:D48"/>
    <mergeCell ref="C49:D49"/>
    <mergeCell ref="C50:D50"/>
    <mergeCell ref="C51:D51"/>
    <mergeCell ref="C54:D54"/>
    <mergeCell ref="C55:D55"/>
    <mergeCell ref="C56:D56"/>
    <mergeCell ref="C57:D57"/>
    <mergeCell ref="C58:D58"/>
    <mergeCell ref="C59:D59"/>
    <mergeCell ref="C60:D60"/>
    <mergeCell ref="C61:D61"/>
    <mergeCell ref="C62:D62"/>
    <mergeCell ref="C72:D72"/>
    <mergeCell ref="C73:D73"/>
    <mergeCell ref="C74:D74"/>
    <mergeCell ref="C75:D75"/>
    <mergeCell ref="C76:D76"/>
    <mergeCell ref="C77:D77"/>
    <mergeCell ref="C78:D78"/>
    <mergeCell ref="C79:D79"/>
    <mergeCell ref="C63:D63"/>
    <mergeCell ref="C64:D64"/>
    <mergeCell ref="C65:D65"/>
    <mergeCell ref="C68:D68"/>
    <mergeCell ref="C69:D69"/>
    <mergeCell ref="C70:D70"/>
    <mergeCell ref="C71:D71"/>
  </mergeCells>
  <pageMargins left="0.25" right="0.25" top="0.75" bottom="0.75" header="0" footer="0"/>
  <pageSetup paperSize="9" orientation="portrait"/>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C1" zoomScale="81" zoomScaleNormal="81" workbookViewId="0">
      <selection activeCell="C13" sqref="C13:W13"/>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201" t="s">
        <v>26</v>
      </c>
      <c r="B1" s="199"/>
      <c r="C1" s="199"/>
      <c r="D1" s="199"/>
      <c r="E1" s="199"/>
      <c r="F1" s="199"/>
      <c r="G1" s="199"/>
      <c r="H1" s="199"/>
      <c r="I1" s="199"/>
      <c r="J1" s="199"/>
      <c r="K1" s="199"/>
      <c r="L1" s="199"/>
      <c r="M1" s="199"/>
      <c r="N1" s="199"/>
      <c r="O1" s="199"/>
      <c r="P1" s="199"/>
      <c r="Q1" s="199"/>
      <c r="R1" s="199"/>
      <c r="S1" s="199"/>
      <c r="T1" s="199"/>
      <c r="U1" s="199"/>
      <c r="V1" s="199"/>
      <c r="W1" s="199"/>
      <c r="X1" s="199"/>
      <c r="Y1" s="200"/>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58" t="s">
        <v>27</v>
      </c>
      <c r="B3" s="199"/>
      <c r="C3" s="199"/>
      <c r="D3" s="199"/>
      <c r="E3" s="199"/>
      <c r="F3" s="199"/>
      <c r="G3" s="199"/>
      <c r="H3" s="199"/>
      <c r="I3" s="199"/>
      <c r="J3" s="199"/>
      <c r="K3" s="199"/>
      <c r="L3" s="199"/>
      <c r="M3" s="199"/>
      <c r="N3" s="199"/>
      <c r="O3" s="199"/>
      <c r="P3" s="199"/>
      <c r="Q3" s="199"/>
      <c r="R3" s="199"/>
      <c r="S3" s="199"/>
      <c r="T3" s="199"/>
      <c r="U3" s="199"/>
      <c r="V3" s="199"/>
      <c r="W3" s="199"/>
      <c r="X3" s="199"/>
      <c r="Y3" s="200"/>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03" t="s">
        <v>2</v>
      </c>
      <c r="B5" s="204"/>
      <c r="C5" s="205"/>
      <c r="D5" s="6"/>
      <c r="E5" s="7"/>
      <c r="F5" s="7"/>
      <c r="G5" s="7"/>
      <c r="H5" s="7"/>
      <c r="I5" s="7"/>
      <c r="J5" s="7"/>
      <c r="K5" s="7"/>
      <c r="L5" s="7"/>
      <c r="M5" s="7"/>
      <c r="N5" s="7"/>
      <c r="O5" s="7"/>
      <c r="P5" s="7"/>
      <c r="Q5" s="7"/>
      <c r="R5" s="7"/>
      <c r="S5" s="7"/>
      <c r="T5" s="7"/>
      <c r="U5" s="7"/>
      <c r="V5" s="7"/>
      <c r="W5" s="7"/>
      <c r="X5" s="7"/>
      <c r="Y5" s="7"/>
      <c r="Z5" s="3"/>
    </row>
    <row r="6" spans="1:26" ht="31.5" customHeight="1" x14ac:dyDescent="0.3">
      <c r="A6" s="206"/>
      <c r="B6" s="207"/>
      <c r="C6" s="208"/>
      <c r="D6" s="6"/>
      <c r="E6" s="259" t="str">
        <f>'1. Résumé'!E6</f>
        <v>FKT 04/18_Tanambao</v>
      </c>
      <c r="F6" s="199"/>
      <c r="G6" s="199"/>
      <c r="H6" s="199"/>
      <c r="I6" s="200"/>
      <c r="J6" s="7"/>
      <c r="K6" s="260" t="s">
        <v>28</v>
      </c>
      <c r="L6" s="199"/>
      <c r="M6" s="199"/>
      <c r="N6" s="199"/>
      <c r="O6" s="200"/>
      <c r="P6" s="7"/>
      <c r="Q6" s="7"/>
      <c r="R6" s="260" t="s">
        <v>29</v>
      </c>
      <c r="S6" s="199"/>
      <c r="T6" s="199"/>
      <c r="U6" s="199"/>
      <c r="V6" s="199"/>
      <c r="W6" s="200"/>
      <c r="X6" s="7"/>
      <c r="Y6" s="7"/>
      <c r="Z6" s="3"/>
    </row>
    <row r="7" spans="1:26" ht="9.75" customHeight="1" x14ac:dyDescent="0.3">
      <c r="A7" s="209"/>
      <c r="B7" s="210"/>
      <c r="C7" s="211"/>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34" t="s">
        <v>30</v>
      </c>
      <c r="B9" s="199"/>
      <c r="C9" s="199"/>
      <c r="D9" s="199"/>
      <c r="E9" s="199"/>
      <c r="F9" s="199"/>
      <c r="G9" s="199"/>
      <c r="H9" s="199"/>
      <c r="I9" s="199"/>
      <c r="J9" s="199"/>
      <c r="K9" s="199"/>
      <c r="L9" s="199"/>
      <c r="M9" s="199"/>
      <c r="N9" s="199"/>
      <c r="O9" s="199"/>
      <c r="P9" s="199"/>
      <c r="Q9" s="199"/>
      <c r="R9" s="199"/>
      <c r="S9" s="199"/>
      <c r="T9" s="199"/>
      <c r="U9" s="199"/>
      <c r="V9" s="199"/>
      <c r="W9" s="199"/>
      <c r="X9" s="199"/>
      <c r="Y9" s="200"/>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12" t="s">
        <v>31</v>
      </c>
      <c r="D11" s="199"/>
      <c r="E11" s="199"/>
      <c r="F11" s="199"/>
      <c r="G11" s="199"/>
      <c r="H11" s="199"/>
      <c r="I11" s="199"/>
      <c r="J11" s="199"/>
      <c r="K11" s="199"/>
      <c r="L11" s="199"/>
      <c r="M11" s="199"/>
      <c r="N11" s="199"/>
      <c r="O11" s="199"/>
      <c r="P11" s="199"/>
      <c r="Q11" s="199"/>
      <c r="R11" s="199"/>
      <c r="S11" s="199"/>
      <c r="T11" s="199"/>
      <c r="U11" s="199"/>
      <c r="V11" s="199"/>
      <c r="W11" s="200"/>
      <c r="X11" s="3"/>
      <c r="Y11" s="4"/>
      <c r="Z11" s="3"/>
    </row>
    <row r="12" spans="1:26" ht="9.75" customHeight="1" x14ac:dyDescent="0.3">
      <c r="A12" s="4"/>
      <c r="B12" s="3"/>
      <c r="C12" s="3" t="s">
        <v>9</v>
      </c>
      <c r="D12" s="3"/>
      <c r="E12" s="3"/>
      <c r="F12" s="3"/>
      <c r="G12" s="3"/>
      <c r="H12" s="3" t="s">
        <v>9</v>
      </c>
      <c r="I12" s="3"/>
      <c r="J12" s="3"/>
      <c r="K12" s="3"/>
      <c r="L12" s="3"/>
      <c r="M12" s="3"/>
      <c r="N12" s="3"/>
      <c r="O12" s="3"/>
      <c r="P12" s="3"/>
      <c r="Q12" s="3"/>
      <c r="R12" s="3"/>
      <c r="S12" s="3"/>
      <c r="T12" s="3"/>
      <c r="U12" s="3"/>
      <c r="V12" s="3"/>
      <c r="W12" s="3"/>
      <c r="X12" s="3"/>
      <c r="Y12" s="4"/>
      <c r="Z12" s="3"/>
    </row>
    <row r="13" spans="1:26" ht="409.5" customHeight="1" x14ac:dyDescent="0.3">
      <c r="A13" s="4"/>
      <c r="B13" s="3"/>
      <c r="C13" s="251" t="s">
        <v>241</v>
      </c>
      <c r="D13" s="252"/>
      <c r="E13" s="252"/>
      <c r="F13" s="252"/>
      <c r="G13" s="252"/>
      <c r="H13" s="252"/>
      <c r="I13" s="252"/>
      <c r="J13" s="252"/>
      <c r="K13" s="252"/>
      <c r="L13" s="252"/>
      <c r="M13" s="252"/>
      <c r="N13" s="252"/>
      <c r="O13" s="252"/>
      <c r="P13" s="252"/>
      <c r="Q13" s="252"/>
      <c r="R13" s="252"/>
      <c r="S13" s="252"/>
      <c r="T13" s="252"/>
      <c r="U13" s="252"/>
      <c r="V13" s="252"/>
      <c r="W13" s="253"/>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54" t="s">
        <v>32</v>
      </c>
      <c r="D15" s="196"/>
      <c r="E15" s="196"/>
      <c r="F15" s="196"/>
      <c r="G15" s="196"/>
      <c r="H15" s="196"/>
      <c r="I15" s="196"/>
      <c r="J15" s="196"/>
      <c r="K15" s="196"/>
      <c r="L15" s="196"/>
      <c r="M15" s="196"/>
      <c r="N15" s="196"/>
      <c r="O15" s="196"/>
      <c r="P15" s="196"/>
      <c r="Q15" s="196"/>
      <c r="R15" s="196"/>
      <c r="S15" s="196"/>
      <c r="T15" s="196"/>
      <c r="U15" s="196"/>
      <c r="V15" s="196"/>
      <c r="W15" s="197"/>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55" t="s">
        <v>33</v>
      </c>
      <c r="D17" s="29"/>
      <c r="E17" s="257" t="s">
        <v>34</v>
      </c>
      <c r="F17" s="196"/>
      <c r="G17" s="197"/>
      <c r="H17" s="30"/>
      <c r="I17" s="249" t="s">
        <v>35</v>
      </c>
      <c r="J17" s="196"/>
      <c r="K17" s="197"/>
      <c r="L17" s="29"/>
      <c r="M17" s="249" t="s">
        <v>36</v>
      </c>
      <c r="N17" s="196"/>
      <c r="O17" s="197"/>
      <c r="P17" s="29"/>
      <c r="Q17" s="249" t="s">
        <v>37</v>
      </c>
      <c r="R17" s="196"/>
      <c r="S17" s="197"/>
      <c r="T17" s="29"/>
      <c r="U17" s="250" t="s">
        <v>38</v>
      </c>
      <c r="V17" s="196"/>
      <c r="W17" s="197"/>
      <c r="X17" s="3"/>
      <c r="Y17" s="4"/>
      <c r="Z17" s="3"/>
    </row>
    <row r="18" spans="1:26" ht="27" customHeight="1" x14ac:dyDescent="0.3">
      <c r="A18" s="4"/>
      <c r="B18" s="3"/>
      <c r="C18" s="256"/>
      <c r="D18" s="29"/>
      <c r="E18" s="31" t="s">
        <v>39</v>
      </c>
      <c r="F18" s="31" t="s">
        <v>40</v>
      </c>
      <c r="G18" s="32" t="s">
        <v>41</v>
      </c>
      <c r="H18" s="33"/>
      <c r="I18" s="31" t="s">
        <v>39</v>
      </c>
      <c r="J18" s="31" t="s">
        <v>40</v>
      </c>
      <c r="K18" s="32" t="s">
        <v>42</v>
      </c>
      <c r="L18" s="33"/>
      <c r="M18" s="31" t="s">
        <v>39</v>
      </c>
      <c r="N18" s="31" t="s">
        <v>40</v>
      </c>
      <c r="O18" s="32" t="s">
        <v>42</v>
      </c>
      <c r="P18" s="34"/>
      <c r="Q18" s="31" t="s">
        <v>39</v>
      </c>
      <c r="R18" s="31" t="s">
        <v>40</v>
      </c>
      <c r="S18" s="35" t="s">
        <v>42</v>
      </c>
      <c r="T18" s="33"/>
      <c r="U18" s="31" t="s">
        <v>39</v>
      </c>
      <c r="V18" s="31" t="s">
        <v>40</v>
      </c>
      <c r="W18" s="35" t="s">
        <v>43</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44</v>
      </c>
      <c r="D20" s="39"/>
      <c r="E20" s="40">
        <v>154</v>
      </c>
      <c r="F20" s="41">
        <v>221</v>
      </c>
      <c r="G20" s="42">
        <f>SUM(E20:F20)</f>
        <v>375</v>
      </c>
      <c r="H20" s="43"/>
      <c r="I20" s="40">
        <v>271</v>
      </c>
      <c r="J20" s="41">
        <v>2011</v>
      </c>
      <c r="K20" s="42">
        <f>SUM(I20:J20)</f>
        <v>2282</v>
      </c>
      <c r="L20" s="44"/>
      <c r="M20" s="40">
        <v>1223</v>
      </c>
      <c r="N20" s="41">
        <v>2014</v>
      </c>
      <c r="O20" s="42">
        <f>SUM(M20:N20)</f>
        <v>3237</v>
      </c>
      <c r="P20" s="44"/>
      <c r="Q20" s="40">
        <v>66</v>
      </c>
      <c r="R20" s="41">
        <v>39</v>
      </c>
      <c r="S20" s="42">
        <f>SUM(Q20:R20)</f>
        <v>105</v>
      </c>
      <c r="T20" s="44"/>
      <c r="U20" s="40">
        <v>1714</v>
      </c>
      <c r="V20" s="40">
        <v>4285</v>
      </c>
      <c r="W20" s="42">
        <f>SUM(U20:V20)</f>
        <v>5999</v>
      </c>
      <c r="X20" s="3"/>
      <c r="Y20" s="4"/>
      <c r="Z20" s="3"/>
    </row>
    <row r="21" spans="1:26" ht="9.75" customHeight="1" x14ac:dyDescent="0.3">
      <c r="A21" s="4"/>
      <c r="B21" s="3"/>
      <c r="C21" s="36"/>
      <c r="D21" s="29"/>
      <c r="E21" s="45"/>
      <c r="F21" s="45"/>
      <c r="G21" s="29"/>
      <c r="H21" s="29"/>
      <c r="I21" s="45"/>
      <c r="J21" s="45"/>
      <c r="K21" s="29"/>
      <c r="L21" s="29"/>
      <c r="M21" s="45"/>
      <c r="N21" s="45"/>
      <c r="O21" s="29"/>
      <c r="P21" s="29"/>
      <c r="Q21" s="45"/>
      <c r="R21" s="45"/>
      <c r="S21" s="29"/>
      <c r="T21" s="29"/>
      <c r="U21" s="45"/>
      <c r="V21" s="45"/>
      <c r="W21" s="29"/>
      <c r="X21" s="3"/>
      <c r="Y21" s="4"/>
      <c r="Z21" s="3"/>
    </row>
    <row r="22" spans="1:26" ht="31.5" customHeight="1" x14ac:dyDescent="0.3">
      <c r="A22" s="4"/>
      <c r="B22" s="3"/>
      <c r="C22" s="46" t="s">
        <v>45</v>
      </c>
      <c r="D22" s="29"/>
      <c r="E22" s="47">
        <f>E20/G20</f>
        <v>0.41066666666666668</v>
      </c>
      <c r="F22" s="48">
        <f>F20/G20</f>
        <v>0.58933333333333338</v>
      </c>
      <c r="G22" s="49">
        <f>SUM(E22:F22)</f>
        <v>1</v>
      </c>
      <c r="H22" s="50"/>
      <c r="I22" s="48">
        <f>I20/K20</f>
        <v>0.11875547765118318</v>
      </c>
      <c r="J22" s="48">
        <f>J20/K20</f>
        <v>0.88124452234881678</v>
      </c>
      <c r="K22" s="49">
        <f>SUM(I22:J22)</f>
        <v>1</v>
      </c>
      <c r="L22" s="51"/>
      <c r="M22" s="48">
        <f>M20/O20</f>
        <v>0.37781896818041394</v>
      </c>
      <c r="N22" s="48">
        <f>N20/O20</f>
        <v>0.62218103181958606</v>
      </c>
      <c r="O22" s="49">
        <f>SUM(M22:N22)</f>
        <v>1</v>
      </c>
      <c r="P22" s="51"/>
      <c r="Q22" s="48">
        <f>Q20/S20</f>
        <v>0.62857142857142856</v>
      </c>
      <c r="R22" s="48">
        <f>R20/S20</f>
        <v>0.37142857142857144</v>
      </c>
      <c r="S22" s="49">
        <f>SUM(Q22:R22)</f>
        <v>1</v>
      </c>
      <c r="T22" s="51"/>
      <c r="U22" s="48">
        <f>U20/W20</f>
        <v>0.2857142857142857</v>
      </c>
      <c r="V22" s="48">
        <f>V20/W20</f>
        <v>0.7142857142857143</v>
      </c>
      <c r="W22" s="49">
        <f>SUM(U22:V22)</f>
        <v>1</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2" t="s">
        <v>46</v>
      </c>
      <c r="D24" s="39"/>
      <c r="E24" s="40">
        <v>0</v>
      </c>
      <c r="F24" s="41">
        <v>0</v>
      </c>
      <c r="G24" s="42">
        <f>SUM(E24:F24)</f>
        <v>0</v>
      </c>
      <c r="H24" s="53"/>
      <c r="I24" s="40">
        <v>0</v>
      </c>
      <c r="J24" s="41">
        <v>0</v>
      </c>
      <c r="K24" s="42">
        <f>SUM(I24:J24)</f>
        <v>0</v>
      </c>
      <c r="L24" s="39"/>
      <c r="M24" s="40">
        <v>8</v>
      </c>
      <c r="N24" s="41">
        <v>9</v>
      </c>
      <c r="O24" s="42">
        <f>SUM(M24:N24)</f>
        <v>17</v>
      </c>
      <c r="P24" s="39"/>
      <c r="Q24" s="40">
        <v>0</v>
      </c>
      <c r="R24" s="41">
        <v>0</v>
      </c>
      <c r="S24" s="42">
        <f>SUM(Q24:R24)</f>
        <v>0</v>
      </c>
      <c r="T24" s="39"/>
      <c r="U24" s="40">
        <v>8</v>
      </c>
      <c r="V24" s="40">
        <v>9</v>
      </c>
      <c r="W24" s="42">
        <f>SUM(U24:V24)</f>
        <v>17</v>
      </c>
      <c r="X24" s="3"/>
      <c r="Y24" s="4"/>
      <c r="Z24" s="3"/>
    </row>
    <row r="25" spans="1:26" ht="9.75" customHeight="1" x14ac:dyDescent="0.3">
      <c r="A25" s="4"/>
      <c r="B25" s="3"/>
      <c r="C25" s="36"/>
      <c r="D25" s="29"/>
      <c r="E25" s="45"/>
      <c r="F25" s="45"/>
      <c r="G25" s="29"/>
      <c r="H25" s="29"/>
      <c r="I25" s="45"/>
      <c r="J25" s="45"/>
      <c r="K25" s="29"/>
      <c r="L25" s="29"/>
      <c r="M25" s="45"/>
      <c r="N25" s="45"/>
      <c r="O25" s="29"/>
      <c r="P25" s="29"/>
      <c r="Q25" s="45"/>
      <c r="R25" s="45"/>
      <c r="S25" s="29"/>
      <c r="T25" s="29"/>
      <c r="U25" s="54"/>
      <c r="V25" s="54"/>
      <c r="W25" s="29"/>
      <c r="X25" s="3"/>
      <c r="Y25" s="4"/>
      <c r="Z25" s="3"/>
    </row>
    <row r="26" spans="1:26" ht="31.5" customHeight="1" x14ac:dyDescent="0.3">
      <c r="A26" s="4"/>
      <c r="B26" s="3"/>
      <c r="C26" s="235" t="s">
        <v>47</v>
      </c>
      <c r="D26" s="196"/>
      <c r="E26" s="196"/>
      <c r="F26" s="196"/>
      <c r="G26" s="196"/>
      <c r="H26" s="196"/>
      <c r="I26" s="196"/>
      <c r="J26" s="196"/>
      <c r="K26" s="196"/>
      <c r="L26" s="196"/>
      <c r="M26" s="196"/>
      <c r="N26" s="196"/>
      <c r="O26" s="196"/>
      <c r="P26" s="196"/>
      <c r="Q26" s="196"/>
      <c r="R26" s="196"/>
      <c r="S26" s="197"/>
      <c r="T26" s="39"/>
      <c r="U26" s="40">
        <v>11</v>
      </c>
      <c r="V26" s="41">
        <v>9</v>
      </c>
      <c r="W26" s="42">
        <f>SUM(U26:V26)</f>
        <v>20</v>
      </c>
      <c r="X26" s="3"/>
      <c r="Y26" s="4"/>
      <c r="Z26" s="3"/>
    </row>
    <row r="27" spans="1:26" ht="18" customHeight="1" x14ac:dyDescent="0.3">
      <c r="A27" s="4"/>
      <c r="B27" s="3"/>
      <c r="C27" s="236"/>
      <c r="D27" s="196"/>
      <c r="E27" s="196"/>
      <c r="F27" s="196"/>
      <c r="G27" s="196"/>
      <c r="H27" s="196"/>
      <c r="I27" s="196"/>
      <c r="J27" s="196"/>
      <c r="K27" s="196"/>
      <c r="L27" s="196"/>
      <c r="M27" s="196"/>
      <c r="N27" s="196"/>
      <c r="O27" s="196"/>
      <c r="P27" s="196"/>
      <c r="Q27" s="196"/>
      <c r="R27" s="196"/>
      <c r="S27" s="197"/>
      <c r="T27" s="29"/>
      <c r="U27" s="55">
        <f t="shared" ref="U27:W27" si="0">U26/U20</f>
        <v>6.4177362893815633E-3</v>
      </c>
      <c r="V27" s="55">
        <f t="shared" si="0"/>
        <v>2.1003500583430573E-3</v>
      </c>
      <c r="W27" s="56">
        <f t="shared" si="0"/>
        <v>3.333888981496916E-3</v>
      </c>
      <c r="X27" s="3"/>
      <c r="Y27" s="4"/>
      <c r="Z27" s="3"/>
    </row>
    <row r="28" spans="1:26" ht="9.75" customHeight="1" x14ac:dyDescent="0.3">
      <c r="A28" s="4"/>
      <c r="B28" s="3"/>
      <c r="C28" s="57"/>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37" t="s">
        <v>48</v>
      </c>
      <c r="D29" s="3"/>
      <c r="E29" s="240" t="s">
        <v>49</v>
      </c>
      <c r="F29" s="241"/>
      <c r="G29" s="242"/>
      <c r="H29" s="58"/>
      <c r="I29" s="248" t="s">
        <v>50</v>
      </c>
      <c r="J29" s="204"/>
      <c r="K29" s="205"/>
      <c r="L29" s="3"/>
      <c r="M29" s="228" t="s">
        <v>51</v>
      </c>
      <c r="N29" s="226"/>
      <c r="O29" s="227"/>
      <c r="P29" s="3"/>
      <c r="Q29" s="248" t="s">
        <v>52</v>
      </c>
      <c r="R29" s="204"/>
      <c r="S29" s="205"/>
      <c r="T29" s="3"/>
      <c r="U29" s="232" t="s">
        <v>53</v>
      </c>
      <c r="V29" s="226"/>
      <c r="W29" s="227"/>
      <c r="X29" s="3"/>
      <c r="Y29" s="4"/>
      <c r="Z29" s="3"/>
    </row>
    <row r="30" spans="1:26" ht="9.75" customHeight="1" x14ac:dyDescent="0.3">
      <c r="A30" s="4"/>
      <c r="B30" s="3"/>
      <c r="C30" s="238"/>
      <c r="D30" s="3"/>
      <c r="E30" s="243"/>
      <c r="F30" s="207"/>
      <c r="G30" s="244"/>
      <c r="H30" s="3"/>
      <c r="I30" s="206"/>
      <c r="J30" s="207"/>
      <c r="K30" s="208"/>
      <c r="L30" s="3"/>
      <c r="M30" s="59"/>
      <c r="N30" s="59"/>
      <c r="O30" s="59"/>
      <c r="P30" s="3"/>
      <c r="Q30" s="206"/>
      <c r="R30" s="207"/>
      <c r="S30" s="208"/>
      <c r="T30" s="3"/>
      <c r="U30" s="60"/>
      <c r="V30" s="60"/>
      <c r="W30" s="60"/>
      <c r="X30" s="3"/>
      <c r="Y30" s="4"/>
      <c r="Z30" s="3"/>
    </row>
    <row r="31" spans="1:26" ht="31.5" customHeight="1" x14ac:dyDescent="0.3">
      <c r="A31" s="4"/>
      <c r="B31" s="3"/>
      <c r="C31" s="239"/>
      <c r="D31" s="3"/>
      <c r="E31" s="245"/>
      <c r="F31" s="246"/>
      <c r="G31" s="247"/>
      <c r="H31" s="58"/>
      <c r="I31" s="209"/>
      <c r="J31" s="210"/>
      <c r="K31" s="211"/>
      <c r="L31" s="3"/>
      <c r="M31" s="228" t="s">
        <v>54</v>
      </c>
      <c r="N31" s="226"/>
      <c r="O31" s="227"/>
      <c r="P31" s="3"/>
      <c r="Q31" s="209"/>
      <c r="R31" s="210"/>
      <c r="S31" s="211"/>
      <c r="T31" s="3"/>
      <c r="U31" s="232" t="s">
        <v>55</v>
      </c>
      <c r="V31" s="226"/>
      <c r="W31" s="227"/>
      <c r="X31" s="3"/>
      <c r="Y31" s="4"/>
      <c r="Z31" s="3"/>
    </row>
    <row r="32" spans="1:26" ht="9.75" customHeight="1" x14ac:dyDescent="0.3">
      <c r="A32" s="4"/>
      <c r="B32" s="3"/>
      <c r="C32" s="61"/>
      <c r="D32" s="3"/>
      <c r="E32" s="62"/>
      <c r="F32" s="62"/>
      <c r="G32" s="62"/>
      <c r="H32" s="58"/>
      <c r="I32" s="229"/>
      <c r="J32" s="199"/>
      <c r="K32" s="200"/>
      <c r="L32" s="3"/>
      <c r="M32" s="62"/>
      <c r="N32" s="62"/>
      <c r="O32" s="62"/>
      <c r="P32" s="3"/>
      <c r="Q32" s="61"/>
      <c r="R32" s="61"/>
      <c r="S32" s="61"/>
      <c r="T32" s="3"/>
      <c r="U32" s="60"/>
      <c r="V32" s="60"/>
      <c r="W32" s="60"/>
      <c r="X32" s="3"/>
      <c r="Y32" s="4"/>
      <c r="Z32" s="3"/>
    </row>
    <row r="33" spans="1:26" ht="84.75" customHeight="1" x14ac:dyDescent="0.3">
      <c r="A33" s="4"/>
      <c r="B33" s="3"/>
      <c r="C33" s="63" t="s">
        <v>56</v>
      </c>
      <c r="D33" s="3"/>
      <c r="E33" s="231" t="s">
        <v>209</v>
      </c>
      <c r="F33" s="226"/>
      <c r="G33" s="227"/>
      <c r="H33" s="58"/>
      <c r="I33" s="230" t="s">
        <v>57</v>
      </c>
      <c r="J33" s="199"/>
      <c r="K33" s="200"/>
      <c r="L33" s="3"/>
      <c r="M33" s="231" t="s">
        <v>220</v>
      </c>
      <c r="N33" s="226"/>
      <c r="O33" s="227"/>
      <c r="P33" s="3"/>
      <c r="Q33" s="230" t="s">
        <v>58</v>
      </c>
      <c r="R33" s="199"/>
      <c r="S33" s="200"/>
      <c r="T33" s="3"/>
      <c r="U33" s="231" t="s">
        <v>59</v>
      </c>
      <c r="V33" s="226"/>
      <c r="W33" s="227"/>
      <c r="X33" s="3"/>
      <c r="Y33" s="4"/>
      <c r="Z33" s="3"/>
    </row>
    <row r="34" spans="1:26" ht="9.75" customHeight="1" x14ac:dyDescent="0.3">
      <c r="A34" s="4"/>
      <c r="B34" s="3"/>
      <c r="C34" s="57"/>
      <c r="D34" s="3"/>
      <c r="E34" s="58"/>
      <c r="F34" s="3"/>
      <c r="G34" s="3"/>
      <c r="H34" s="58"/>
      <c r="I34" s="3"/>
      <c r="J34" s="3"/>
      <c r="K34" s="3"/>
      <c r="L34" s="3"/>
      <c r="M34" s="3"/>
      <c r="N34" s="3"/>
      <c r="O34" s="3"/>
      <c r="P34" s="3"/>
      <c r="Q34" s="3"/>
      <c r="R34" s="3"/>
      <c r="S34" s="3"/>
      <c r="T34" s="3"/>
      <c r="U34" s="3"/>
      <c r="V34" s="3"/>
      <c r="W34" s="3"/>
      <c r="X34" s="3"/>
      <c r="Y34" s="4"/>
      <c r="Z34" s="3"/>
    </row>
    <row r="35" spans="1:26" ht="9.75" customHeight="1" x14ac:dyDescent="0.3">
      <c r="A35" s="4"/>
      <c r="B35" s="4"/>
      <c r="C35" s="64" t="s">
        <v>9</v>
      </c>
      <c r="D35" s="4"/>
      <c r="E35" s="233" t="s">
        <v>9</v>
      </c>
      <c r="F35" s="199"/>
      <c r="G35" s="199"/>
      <c r="H35" s="200"/>
      <c r="I35" s="4"/>
      <c r="J35" s="4"/>
      <c r="K35" s="4"/>
      <c r="L35" s="4"/>
      <c r="M35" s="4"/>
      <c r="N35" s="4"/>
      <c r="O35" s="4"/>
      <c r="P35" s="4"/>
      <c r="Q35" s="4"/>
      <c r="R35" s="4"/>
      <c r="S35" s="4"/>
      <c r="T35" s="4"/>
      <c r="U35" s="4"/>
      <c r="V35" s="4"/>
      <c r="W35" s="4"/>
      <c r="X35" s="4"/>
      <c r="Y35" s="4"/>
      <c r="Z35" s="3"/>
    </row>
    <row r="36" spans="1:26" ht="9.75" customHeight="1" x14ac:dyDescent="0.3">
      <c r="A36" s="3"/>
      <c r="B36" s="3"/>
      <c r="C36" s="57"/>
      <c r="D36" s="3"/>
      <c r="E36" s="58"/>
      <c r="F36" s="3"/>
      <c r="G36" s="3"/>
      <c r="H36" s="58"/>
      <c r="I36" s="3"/>
      <c r="J36" s="3"/>
      <c r="K36" s="3"/>
      <c r="L36" s="3"/>
      <c r="M36" s="3"/>
      <c r="N36" s="3"/>
      <c r="O36" s="3"/>
      <c r="P36" s="3"/>
      <c r="Q36" s="3"/>
      <c r="R36" s="3"/>
      <c r="S36" s="3"/>
      <c r="T36" s="3"/>
      <c r="U36" s="3"/>
      <c r="V36" s="3"/>
      <c r="W36" s="3"/>
      <c r="X36" s="3"/>
      <c r="Y36" s="3"/>
      <c r="Z36" s="3"/>
    </row>
    <row r="37" spans="1:26" ht="9.75" customHeight="1" x14ac:dyDescent="0.3">
      <c r="A37" s="3"/>
      <c r="B37" s="3"/>
      <c r="C37" s="57"/>
      <c r="D37" s="3"/>
      <c r="E37" s="58"/>
      <c r="F37" s="3"/>
      <c r="G37" s="3"/>
      <c r="H37" s="58"/>
      <c r="I37" s="3"/>
      <c r="J37" s="3"/>
      <c r="K37" s="3"/>
      <c r="L37" s="3"/>
      <c r="M37" s="3"/>
      <c r="N37" s="3"/>
      <c r="O37" s="3"/>
      <c r="P37" s="3"/>
      <c r="Q37" s="3"/>
      <c r="R37" s="3"/>
      <c r="S37" s="3"/>
      <c r="T37" s="3"/>
      <c r="U37" s="3"/>
      <c r="V37" s="3"/>
      <c r="W37" s="3"/>
      <c r="X37" s="3"/>
      <c r="Y37" s="3"/>
      <c r="Z37" s="3"/>
    </row>
    <row r="38" spans="1:26" ht="39.75" customHeight="1" x14ac:dyDescent="0.3">
      <c r="A38" s="234" t="s">
        <v>60</v>
      </c>
      <c r="B38" s="199"/>
      <c r="C38" s="199"/>
      <c r="D38" s="199"/>
      <c r="E38" s="199"/>
      <c r="F38" s="199"/>
      <c r="G38" s="199"/>
      <c r="H38" s="199"/>
      <c r="I38" s="199"/>
      <c r="J38" s="199"/>
      <c r="K38" s="199"/>
      <c r="L38" s="199"/>
      <c r="M38" s="199"/>
      <c r="N38" s="199"/>
      <c r="O38" s="199"/>
      <c r="P38" s="199"/>
      <c r="Q38" s="199"/>
      <c r="R38" s="199"/>
      <c r="S38" s="199"/>
      <c r="T38" s="199"/>
      <c r="U38" s="199"/>
      <c r="V38" s="199"/>
      <c r="W38" s="199"/>
      <c r="X38" s="199"/>
      <c r="Y38" s="200"/>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12" t="s">
        <v>61</v>
      </c>
      <c r="D40" s="199"/>
      <c r="E40" s="199"/>
      <c r="F40" s="199"/>
      <c r="G40" s="199"/>
      <c r="H40" s="199"/>
      <c r="I40" s="199"/>
      <c r="J40" s="199"/>
      <c r="K40" s="199"/>
      <c r="L40" s="199"/>
      <c r="M40" s="199"/>
      <c r="N40" s="199"/>
      <c r="O40" s="199"/>
      <c r="P40" s="199"/>
      <c r="Q40" s="199"/>
      <c r="R40" s="199"/>
      <c r="S40" s="199"/>
      <c r="T40" s="199"/>
      <c r="U40" s="199"/>
      <c r="V40" s="199"/>
      <c r="W40" s="200"/>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25" t="s">
        <v>210</v>
      </c>
      <c r="D42" s="226"/>
      <c r="E42" s="226"/>
      <c r="F42" s="226"/>
      <c r="G42" s="226"/>
      <c r="H42" s="226"/>
      <c r="I42" s="226"/>
      <c r="J42" s="226"/>
      <c r="K42" s="226"/>
      <c r="L42" s="226"/>
      <c r="M42" s="226"/>
      <c r="N42" s="226"/>
      <c r="O42" s="226"/>
      <c r="P42" s="226"/>
      <c r="Q42" s="226"/>
      <c r="R42" s="226"/>
      <c r="S42" s="226"/>
      <c r="T42" s="226"/>
      <c r="U42" s="226"/>
      <c r="V42" s="226"/>
      <c r="W42" s="227"/>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5" t="s">
        <v>62</v>
      </c>
      <c r="D46" s="3"/>
      <c r="E46" s="65" t="s">
        <v>63</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6" t="s">
        <v>49</v>
      </c>
      <c r="D47" s="3"/>
      <c r="E47" s="66" t="s">
        <v>64</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6" t="s">
        <v>65</v>
      </c>
      <c r="D48" s="3"/>
      <c r="E48" s="66" t="s">
        <v>66</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6" t="s">
        <v>67</v>
      </c>
      <c r="D49" s="3"/>
      <c r="E49" s="66" t="s">
        <v>53</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6"/>
      <c r="D50" s="3"/>
      <c r="E50" s="66"/>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5" t="s">
        <v>68</v>
      </c>
      <c r="D51" s="3"/>
      <c r="E51" s="66" t="s">
        <v>69</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6" t="s">
        <v>51</v>
      </c>
      <c r="D52" s="3"/>
      <c r="E52" s="66" t="s">
        <v>70</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6" t="s">
        <v>71</v>
      </c>
      <c r="D53" s="3"/>
      <c r="E53" s="66" t="s">
        <v>55</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6" t="s">
        <v>72</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6"/>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5" t="s">
        <v>73</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6" t="s">
        <v>54</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6" t="s">
        <v>74</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A1:Y1"/>
    <mergeCell ref="A3:Y3"/>
    <mergeCell ref="A5:C7"/>
    <mergeCell ref="E6:I6"/>
    <mergeCell ref="K6:O6"/>
    <mergeCell ref="R6:W6"/>
    <mergeCell ref="A9:Y9"/>
    <mergeCell ref="Q17:S17"/>
    <mergeCell ref="U17:W17"/>
    <mergeCell ref="C11:W11"/>
    <mergeCell ref="C13:W13"/>
    <mergeCell ref="C15:W15"/>
    <mergeCell ref="C17:C18"/>
    <mergeCell ref="E17:G17"/>
    <mergeCell ref="I17:K17"/>
    <mergeCell ref="M17:O17"/>
    <mergeCell ref="C26:S26"/>
    <mergeCell ref="C27:S27"/>
    <mergeCell ref="C29:C31"/>
    <mergeCell ref="E29:G31"/>
    <mergeCell ref="I29:K31"/>
    <mergeCell ref="Q29:S31"/>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orientation="portrait"/>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zoomScale="80" zoomScaleNormal="80" workbookViewId="0">
      <selection activeCell="E40" sqref="E40:K40"/>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4" width="1.69921875" customWidth="1"/>
    <col min="25" max="25" width="1" customWidth="1"/>
    <col min="26" max="29" width="10.69921875" customWidth="1"/>
  </cols>
  <sheetData>
    <row r="1" spans="1:29" ht="39.75" customHeight="1" x14ac:dyDescent="0.4">
      <c r="A1" s="201" t="s">
        <v>75</v>
      </c>
      <c r="B1" s="199"/>
      <c r="C1" s="199"/>
      <c r="D1" s="199"/>
      <c r="E1" s="199"/>
      <c r="F1" s="199"/>
      <c r="G1" s="199"/>
      <c r="H1" s="199"/>
      <c r="I1" s="199"/>
      <c r="J1" s="199"/>
      <c r="K1" s="199"/>
      <c r="L1" s="199"/>
      <c r="M1" s="199"/>
      <c r="N1" s="199"/>
      <c r="O1" s="199"/>
      <c r="P1" s="199"/>
      <c r="Q1" s="199"/>
      <c r="R1" s="199"/>
      <c r="S1" s="199"/>
      <c r="T1" s="199"/>
      <c r="U1" s="199"/>
      <c r="V1" s="199"/>
      <c r="W1" s="199"/>
      <c r="X1" s="199"/>
      <c r="Y1" s="200"/>
      <c r="Z1" s="67"/>
      <c r="AA1" s="1" t="s">
        <v>76</v>
      </c>
      <c r="AB1" s="67"/>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7"/>
      <c r="AA2" s="1" t="str">
        <f>IF(E18="","",E18)</f>
        <v xml:space="preserve">Inondation </v>
      </c>
      <c r="AB2" s="67"/>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Cyclone</v>
      </c>
      <c r="AB3" s="3"/>
      <c r="AC3" s="3"/>
    </row>
    <row r="4" spans="1:29" ht="9.75" customHeight="1" x14ac:dyDescent="0.3">
      <c r="A4" s="203" t="s">
        <v>2</v>
      </c>
      <c r="B4" s="204"/>
      <c r="C4" s="205"/>
      <c r="D4" s="6"/>
      <c r="E4" s="7"/>
      <c r="F4" s="7"/>
      <c r="G4" s="7"/>
      <c r="H4" s="7"/>
      <c r="I4" s="7"/>
      <c r="J4" s="7"/>
      <c r="K4" s="7"/>
      <c r="L4" s="7"/>
      <c r="M4" s="7"/>
      <c r="N4" s="7"/>
      <c r="O4" s="7"/>
      <c r="P4" s="7"/>
      <c r="Q4" s="7"/>
      <c r="R4" s="7"/>
      <c r="S4" s="7"/>
      <c r="T4" s="7"/>
      <c r="U4" s="7"/>
      <c r="V4" s="7"/>
      <c r="W4" s="7"/>
      <c r="X4" s="7"/>
      <c r="Y4" s="7"/>
      <c r="Z4" s="3"/>
      <c r="AA4" s="5" t="str">
        <f>IF(E34="","",E34)</f>
        <v xml:space="preserve">Epidémies </v>
      </c>
      <c r="AB4" s="3"/>
      <c r="AC4" s="3"/>
    </row>
    <row r="5" spans="1:29" ht="31.5" customHeight="1" x14ac:dyDescent="0.3">
      <c r="A5" s="206"/>
      <c r="B5" s="207"/>
      <c r="C5" s="208"/>
      <c r="D5" s="6"/>
      <c r="E5" s="259" t="str">
        <f>'1. Résumé'!E6</f>
        <v>FKT 04/18_Tanambao</v>
      </c>
      <c r="F5" s="199"/>
      <c r="G5" s="199"/>
      <c r="H5" s="199"/>
      <c r="I5" s="200"/>
      <c r="J5" s="7"/>
      <c r="K5" s="260" t="str">
        <f>'1. Résumé'!G8</f>
        <v>Pays : Madagascar</v>
      </c>
      <c r="L5" s="199"/>
      <c r="M5" s="199"/>
      <c r="N5" s="199"/>
      <c r="O5" s="200"/>
      <c r="P5" s="7"/>
      <c r="Q5" s="7"/>
      <c r="R5" s="260" t="str">
        <f>'1. Résumé'!E10</f>
        <v>Société nationale : Croix-Rouge Malagasy</v>
      </c>
      <c r="S5" s="199"/>
      <c r="T5" s="199"/>
      <c r="U5" s="199"/>
      <c r="V5" s="199"/>
      <c r="W5" s="200"/>
      <c r="X5" s="7"/>
      <c r="Y5" s="7"/>
      <c r="Z5" s="3"/>
      <c r="AA5" s="5" t="str">
        <f>IF(O34="","",O34)</f>
        <v/>
      </c>
      <c r="AB5" s="3"/>
      <c r="AC5" s="3"/>
    </row>
    <row r="6" spans="1:29" ht="9.75" customHeight="1" x14ac:dyDescent="0.3">
      <c r="A6" s="209"/>
      <c r="B6" s="210"/>
      <c r="C6" s="211"/>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274" t="s">
        <v>77</v>
      </c>
      <c r="B8" s="199"/>
      <c r="C8" s="199"/>
      <c r="D8" s="199"/>
      <c r="E8" s="199"/>
      <c r="F8" s="199"/>
      <c r="G8" s="199"/>
      <c r="H8" s="199"/>
      <c r="I8" s="199"/>
      <c r="J8" s="199"/>
      <c r="K8" s="199"/>
      <c r="L8" s="199"/>
      <c r="M8" s="199"/>
      <c r="N8" s="199"/>
      <c r="O8" s="199"/>
      <c r="P8" s="199"/>
      <c r="Q8" s="199"/>
      <c r="R8" s="199"/>
      <c r="S8" s="199"/>
      <c r="T8" s="199"/>
      <c r="U8" s="199"/>
      <c r="V8" s="199"/>
      <c r="W8" s="199"/>
      <c r="X8" s="199"/>
      <c r="Y8" s="200"/>
      <c r="Z8" s="3"/>
      <c r="AA8" s="5"/>
      <c r="AB8" s="3"/>
      <c r="AC8" s="3" t="s">
        <v>9</v>
      </c>
    </row>
    <row r="9" spans="1:29" ht="9.75" customHeight="1" x14ac:dyDescent="0.3">
      <c r="A9" s="68"/>
      <c r="B9" s="69"/>
      <c r="C9" s="69"/>
      <c r="D9" s="69"/>
      <c r="E9" s="69"/>
      <c r="F9" s="69"/>
      <c r="G9" s="69"/>
      <c r="H9" s="69"/>
      <c r="I9" s="69"/>
      <c r="J9" s="69"/>
      <c r="K9" s="69"/>
      <c r="L9" s="69"/>
      <c r="M9" s="69"/>
      <c r="N9" s="69"/>
      <c r="O9" s="69"/>
      <c r="P9" s="69"/>
      <c r="Q9" s="69"/>
      <c r="R9" s="69"/>
      <c r="S9" s="69"/>
      <c r="T9" s="69"/>
      <c r="U9" s="69"/>
      <c r="V9" s="69"/>
      <c r="W9" s="69"/>
      <c r="X9" s="69"/>
      <c r="Y9" s="68"/>
      <c r="Z9" s="3"/>
      <c r="AA9" s="5"/>
      <c r="AB9" s="3"/>
      <c r="AC9" s="3"/>
    </row>
    <row r="10" spans="1:29" ht="39.75" customHeight="1" x14ac:dyDescent="0.3">
      <c r="A10" s="68"/>
      <c r="B10" s="69"/>
      <c r="C10" s="275" t="s">
        <v>78</v>
      </c>
      <c r="D10" s="199"/>
      <c r="E10" s="199"/>
      <c r="F10" s="199"/>
      <c r="G10" s="199"/>
      <c r="H10" s="199"/>
      <c r="I10" s="199"/>
      <c r="J10" s="199"/>
      <c r="K10" s="199"/>
      <c r="L10" s="199"/>
      <c r="M10" s="199"/>
      <c r="N10" s="199"/>
      <c r="O10" s="199"/>
      <c r="P10" s="199"/>
      <c r="Q10" s="199"/>
      <c r="R10" s="199"/>
      <c r="S10" s="199"/>
      <c r="T10" s="199"/>
      <c r="U10" s="199"/>
      <c r="V10" s="199"/>
      <c r="W10" s="200"/>
      <c r="X10" s="69"/>
      <c r="Y10" s="68"/>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12" t="s">
        <v>79</v>
      </c>
      <c r="D12" s="199"/>
      <c r="E12" s="199"/>
      <c r="F12" s="199"/>
      <c r="G12" s="199"/>
      <c r="H12" s="199"/>
      <c r="I12" s="199"/>
      <c r="J12" s="199"/>
      <c r="K12" s="199"/>
      <c r="L12" s="199"/>
      <c r="M12" s="199"/>
      <c r="N12" s="199"/>
      <c r="O12" s="199"/>
      <c r="P12" s="199"/>
      <c r="Q12" s="199"/>
      <c r="R12" s="199"/>
      <c r="S12" s="199"/>
      <c r="T12" s="199"/>
      <c r="U12" s="199"/>
      <c r="V12" s="199"/>
      <c r="W12" s="200"/>
      <c r="X12" s="3"/>
      <c r="Y12" s="4"/>
      <c r="Z12" s="3"/>
      <c r="AA12" s="5"/>
      <c r="AB12" s="3"/>
      <c r="AC12" s="3"/>
    </row>
    <row r="13" spans="1:29" ht="9.75" customHeight="1" x14ac:dyDescent="0.3">
      <c r="A13" s="4"/>
      <c r="B13" s="3"/>
      <c r="C13" s="3" t="s">
        <v>9</v>
      </c>
      <c r="D13" s="3"/>
      <c r="E13" s="3"/>
      <c r="F13" s="3"/>
      <c r="G13" s="3"/>
      <c r="H13" s="3" t="s">
        <v>9</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51" t="s">
        <v>243</v>
      </c>
      <c r="D14" s="226"/>
      <c r="E14" s="226"/>
      <c r="F14" s="226"/>
      <c r="G14" s="226"/>
      <c r="H14" s="226"/>
      <c r="I14" s="226"/>
      <c r="J14" s="226"/>
      <c r="K14" s="226"/>
      <c r="L14" s="226"/>
      <c r="M14" s="226"/>
      <c r="N14" s="226"/>
      <c r="O14" s="226"/>
      <c r="P14" s="226"/>
      <c r="Q14" s="226"/>
      <c r="R14" s="226"/>
      <c r="S14" s="226"/>
      <c r="T14" s="226"/>
      <c r="U14" s="226"/>
      <c r="V14" s="226"/>
      <c r="W14" s="227"/>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70" t="s">
        <v>80</v>
      </c>
      <c r="D16" s="71"/>
      <c r="E16" s="71"/>
      <c r="F16" s="71"/>
      <c r="G16" s="71"/>
      <c r="H16" s="71"/>
      <c r="I16" s="71"/>
      <c r="J16" s="71"/>
      <c r="K16" s="71"/>
      <c r="L16" s="14"/>
      <c r="M16" s="72" t="s">
        <v>81</v>
      </c>
      <c r="N16" s="72"/>
      <c r="O16" s="72"/>
      <c r="P16" s="72"/>
      <c r="Q16" s="72"/>
      <c r="R16" s="72"/>
      <c r="S16" s="72"/>
      <c r="T16" s="72"/>
      <c r="U16" s="72"/>
      <c r="V16" s="72"/>
      <c r="W16" s="72"/>
      <c r="X16" s="3"/>
      <c r="Y16" s="4"/>
      <c r="Z16" s="3"/>
      <c r="AA16" s="5"/>
      <c r="AB16" s="3"/>
      <c r="AC16" s="3"/>
    </row>
    <row r="17" spans="1:29" ht="9.75" customHeight="1" x14ac:dyDescent="0.3">
      <c r="A17" s="4"/>
      <c r="B17" s="3"/>
      <c r="C17" s="73"/>
      <c r="D17" s="73"/>
      <c r="E17" s="73"/>
      <c r="F17" s="73"/>
      <c r="G17" s="73"/>
      <c r="H17" s="73"/>
      <c r="I17" s="73"/>
      <c r="J17" s="73"/>
      <c r="K17" s="73"/>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4" t="s">
        <v>82</v>
      </c>
      <c r="D18" s="73"/>
      <c r="E18" s="267" t="s">
        <v>80</v>
      </c>
      <c r="F18" s="226"/>
      <c r="G18" s="226"/>
      <c r="H18" s="226"/>
      <c r="I18" s="226"/>
      <c r="J18" s="226"/>
      <c r="K18" s="227"/>
      <c r="L18" s="3"/>
      <c r="M18" s="74" t="s">
        <v>82</v>
      </c>
      <c r="N18" s="75"/>
      <c r="O18" s="276" t="s">
        <v>81</v>
      </c>
      <c r="P18" s="226"/>
      <c r="Q18" s="226"/>
      <c r="R18" s="226"/>
      <c r="S18" s="226"/>
      <c r="T18" s="226"/>
      <c r="U18" s="226"/>
      <c r="V18" s="226"/>
      <c r="W18" s="227"/>
      <c r="X18" s="3"/>
      <c r="Y18" s="4"/>
      <c r="Z18" s="3"/>
      <c r="AA18" s="5"/>
      <c r="AB18" s="3"/>
      <c r="AC18" s="3"/>
    </row>
    <row r="19" spans="1:29" ht="9.75" customHeight="1" x14ac:dyDescent="0.3">
      <c r="A19" s="4"/>
      <c r="B19" s="3"/>
      <c r="C19" s="76"/>
      <c r="D19" s="73"/>
      <c r="E19" s="73"/>
      <c r="F19" s="73"/>
      <c r="G19" s="73"/>
      <c r="H19" s="73"/>
      <c r="I19" s="73"/>
      <c r="J19" s="73"/>
      <c r="K19" s="73"/>
      <c r="L19" s="3"/>
      <c r="M19" s="75"/>
      <c r="N19" s="75"/>
      <c r="O19" s="15"/>
      <c r="P19" s="15"/>
      <c r="Q19" s="15"/>
      <c r="R19" s="15"/>
      <c r="S19" s="15"/>
      <c r="T19" s="15"/>
      <c r="U19" s="15"/>
      <c r="V19" s="15"/>
      <c r="W19" s="15"/>
      <c r="X19" s="3"/>
      <c r="Y19" s="4"/>
      <c r="Z19" s="3"/>
      <c r="AA19" s="5"/>
      <c r="AB19" s="3"/>
      <c r="AC19" s="3"/>
    </row>
    <row r="20" spans="1:29" ht="81.75" customHeight="1" x14ac:dyDescent="0.3">
      <c r="A20" s="4"/>
      <c r="B20" s="3"/>
      <c r="C20" s="74" t="s">
        <v>83</v>
      </c>
      <c r="D20" s="73"/>
      <c r="E20" s="251" t="s">
        <v>242</v>
      </c>
      <c r="F20" s="226"/>
      <c r="G20" s="226"/>
      <c r="H20" s="226"/>
      <c r="I20" s="226"/>
      <c r="J20" s="226"/>
      <c r="K20" s="227"/>
      <c r="L20" s="3"/>
      <c r="M20" s="74" t="s">
        <v>83</v>
      </c>
      <c r="N20" s="75"/>
      <c r="O20" s="261" t="s">
        <v>239</v>
      </c>
      <c r="P20" s="226"/>
      <c r="Q20" s="226"/>
      <c r="R20" s="226"/>
      <c r="S20" s="226"/>
      <c r="T20" s="226"/>
      <c r="U20" s="226"/>
      <c r="V20" s="226"/>
      <c r="W20" s="227"/>
      <c r="X20" s="3"/>
      <c r="Y20" s="4"/>
      <c r="Z20" s="3"/>
      <c r="AA20" s="5"/>
      <c r="AB20" s="3"/>
      <c r="AC20" s="3"/>
    </row>
    <row r="21" spans="1:29" ht="9.75" customHeight="1" x14ac:dyDescent="0.3">
      <c r="A21" s="4"/>
      <c r="B21" s="3"/>
      <c r="C21" s="76" t="s">
        <v>9</v>
      </c>
      <c r="D21" s="73"/>
      <c r="E21" s="73"/>
      <c r="F21" s="73"/>
      <c r="G21" s="73"/>
      <c r="H21" s="73"/>
      <c r="I21" s="73"/>
      <c r="J21" s="73"/>
      <c r="K21" s="73"/>
      <c r="L21" s="3"/>
      <c r="M21" s="75" t="s">
        <v>9</v>
      </c>
      <c r="N21" s="75"/>
      <c r="O21" s="15"/>
      <c r="P21" s="15"/>
      <c r="Q21" s="15"/>
      <c r="R21" s="15"/>
      <c r="S21" s="15"/>
      <c r="T21" s="15"/>
      <c r="U21" s="15"/>
      <c r="V21" s="15"/>
      <c r="W21" s="15"/>
      <c r="X21" s="3"/>
      <c r="Y21" s="4"/>
      <c r="Z21" s="3"/>
      <c r="AA21" s="5"/>
      <c r="AB21" s="3"/>
      <c r="AC21" s="3"/>
    </row>
    <row r="22" spans="1:29" ht="31.5" customHeight="1" x14ac:dyDescent="0.3">
      <c r="A22" s="4"/>
      <c r="B22" s="3"/>
      <c r="C22" s="74" t="s">
        <v>84</v>
      </c>
      <c r="D22" s="73"/>
      <c r="E22" s="265" t="s">
        <v>233</v>
      </c>
      <c r="F22" s="226"/>
      <c r="G22" s="226"/>
      <c r="H22" s="226"/>
      <c r="I22" s="226"/>
      <c r="J22" s="226"/>
      <c r="K22" s="227"/>
      <c r="L22" s="3"/>
      <c r="M22" s="74" t="s">
        <v>84</v>
      </c>
      <c r="N22" s="75"/>
      <c r="O22" s="269" t="s">
        <v>240</v>
      </c>
      <c r="P22" s="226"/>
      <c r="Q22" s="226"/>
      <c r="R22" s="226"/>
      <c r="S22" s="226"/>
      <c r="T22" s="226"/>
      <c r="U22" s="226"/>
      <c r="V22" s="226"/>
      <c r="W22" s="227"/>
      <c r="X22" s="3"/>
      <c r="Y22" s="4"/>
      <c r="Z22" s="3"/>
      <c r="AA22" s="5"/>
      <c r="AB22" s="3"/>
      <c r="AC22" s="3"/>
    </row>
    <row r="23" spans="1:29" ht="9.75" customHeight="1" x14ac:dyDescent="0.3">
      <c r="A23" s="4"/>
      <c r="B23" s="3"/>
      <c r="C23" s="76" t="s">
        <v>9</v>
      </c>
      <c r="D23" s="73"/>
      <c r="E23" s="73"/>
      <c r="F23" s="73"/>
      <c r="G23" s="73"/>
      <c r="H23" s="73"/>
      <c r="I23" s="73"/>
      <c r="J23" s="73"/>
      <c r="K23" s="73"/>
      <c r="L23" s="3"/>
      <c r="M23" s="75" t="s">
        <v>9</v>
      </c>
      <c r="N23" s="75"/>
      <c r="O23" s="15"/>
      <c r="P23" s="15"/>
      <c r="Q23" s="15"/>
      <c r="R23" s="15"/>
      <c r="S23" s="15"/>
      <c r="T23" s="15"/>
      <c r="U23" s="15"/>
      <c r="V23" s="15"/>
      <c r="W23" s="15"/>
      <c r="X23" s="3"/>
      <c r="Y23" s="4"/>
      <c r="Z23" s="3"/>
      <c r="AA23" s="5"/>
      <c r="AB23" s="3"/>
      <c r="AC23" s="3"/>
    </row>
    <row r="24" spans="1:29" ht="31.5" customHeight="1" x14ac:dyDescent="0.3">
      <c r="A24" s="4"/>
      <c r="B24" s="3"/>
      <c r="C24" s="74" t="s">
        <v>85</v>
      </c>
      <c r="D24" s="73"/>
      <c r="E24" s="262" t="s">
        <v>202</v>
      </c>
      <c r="F24" s="226"/>
      <c r="G24" s="226"/>
      <c r="H24" s="226"/>
      <c r="I24" s="226"/>
      <c r="J24" s="226"/>
      <c r="K24" s="227"/>
      <c r="L24" s="3"/>
      <c r="M24" s="74" t="s">
        <v>85</v>
      </c>
      <c r="N24" s="75"/>
      <c r="O24" s="269" t="s">
        <v>202</v>
      </c>
      <c r="P24" s="226"/>
      <c r="Q24" s="226"/>
      <c r="R24" s="226"/>
      <c r="S24" s="226"/>
      <c r="T24" s="226"/>
      <c r="U24" s="226"/>
      <c r="V24" s="226"/>
      <c r="W24" s="227"/>
      <c r="X24" s="3"/>
      <c r="Y24" s="4"/>
      <c r="Z24" s="3"/>
      <c r="AA24" s="5"/>
      <c r="AB24" s="3"/>
      <c r="AC24" s="3"/>
    </row>
    <row r="25" spans="1:29" ht="9.75" customHeight="1" x14ac:dyDescent="0.3">
      <c r="A25" s="4"/>
      <c r="B25" s="3"/>
      <c r="C25" s="76" t="s">
        <v>9</v>
      </c>
      <c r="D25" s="73"/>
      <c r="E25" s="73"/>
      <c r="F25" s="73"/>
      <c r="G25" s="73"/>
      <c r="H25" s="73"/>
      <c r="I25" s="73"/>
      <c r="J25" s="73"/>
      <c r="K25" s="73"/>
      <c r="L25" s="3"/>
      <c r="M25" s="75" t="s">
        <v>9</v>
      </c>
      <c r="N25" s="75"/>
      <c r="O25" s="171"/>
      <c r="P25" s="171"/>
      <c r="Q25" s="171"/>
      <c r="R25" s="171"/>
      <c r="S25" s="171"/>
      <c r="T25" s="171"/>
      <c r="U25" s="171"/>
      <c r="V25" s="171"/>
      <c r="W25" s="171"/>
      <c r="X25" s="3"/>
      <c r="Y25" s="4"/>
      <c r="Z25" s="3"/>
      <c r="AA25" s="5"/>
      <c r="AB25" s="3"/>
      <c r="AC25" s="3"/>
    </row>
    <row r="26" spans="1:29" ht="31.5" customHeight="1" x14ac:dyDescent="0.3">
      <c r="A26" s="4"/>
      <c r="B26" s="3"/>
      <c r="C26" s="74" t="s">
        <v>86</v>
      </c>
      <c r="D26" s="73"/>
      <c r="E26" s="265" t="s">
        <v>225</v>
      </c>
      <c r="F26" s="226"/>
      <c r="G26" s="226"/>
      <c r="H26" s="226"/>
      <c r="I26" s="226"/>
      <c r="J26" s="226"/>
      <c r="K26" s="227"/>
      <c r="L26" s="3"/>
      <c r="M26" s="74" t="s">
        <v>86</v>
      </c>
      <c r="N26" s="75"/>
      <c r="O26" s="269" t="s">
        <v>203</v>
      </c>
      <c r="P26" s="226"/>
      <c r="Q26" s="226"/>
      <c r="R26" s="226"/>
      <c r="S26" s="226"/>
      <c r="T26" s="226"/>
      <c r="U26" s="226"/>
      <c r="V26" s="226"/>
      <c r="W26" s="227"/>
      <c r="X26" s="3"/>
      <c r="Y26" s="4"/>
      <c r="Z26" s="3"/>
      <c r="AA26" s="5"/>
      <c r="AB26" s="3"/>
      <c r="AC26" s="3"/>
    </row>
    <row r="27" spans="1:29" ht="9.75" customHeight="1" x14ac:dyDescent="0.3">
      <c r="A27" s="4"/>
      <c r="B27" s="3"/>
      <c r="C27" s="76"/>
      <c r="D27" s="73"/>
      <c r="E27" s="73"/>
      <c r="F27" s="73"/>
      <c r="G27" s="73"/>
      <c r="H27" s="73"/>
      <c r="I27" s="73"/>
      <c r="J27" s="73"/>
      <c r="K27" s="73"/>
      <c r="L27" s="3"/>
      <c r="M27" s="75"/>
      <c r="N27" s="75"/>
      <c r="O27" s="15"/>
      <c r="P27" s="15"/>
      <c r="Q27" s="15"/>
      <c r="R27" s="15"/>
      <c r="S27" s="15"/>
      <c r="T27" s="15"/>
      <c r="U27" s="15"/>
      <c r="V27" s="15"/>
      <c r="W27" s="15"/>
      <c r="X27" s="3"/>
      <c r="Y27" s="4"/>
      <c r="Z27" s="3"/>
      <c r="AA27" s="5"/>
      <c r="AB27" s="3"/>
      <c r="AC27" s="3"/>
    </row>
    <row r="28" spans="1:29" ht="31.5" customHeight="1" x14ac:dyDescent="0.3">
      <c r="A28" s="4"/>
      <c r="B28" s="3"/>
      <c r="C28" s="74" t="s">
        <v>87</v>
      </c>
      <c r="D28" s="73"/>
      <c r="E28" s="270" t="s">
        <v>244</v>
      </c>
      <c r="F28" s="226"/>
      <c r="G28" s="226"/>
      <c r="H28" s="226"/>
      <c r="I28" s="226"/>
      <c r="J28" s="226"/>
      <c r="K28" s="227"/>
      <c r="L28" s="3"/>
      <c r="M28" s="74" t="s">
        <v>87</v>
      </c>
      <c r="N28" s="75"/>
      <c r="O28" s="261" t="s">
        <v>217</v>
      </c>
      <c r="P28" s="226"/>
      <c r="Q28" s="226"/>
      <c r="R28" s="226"/>
      <c r="S28" s="226"/>
      <c r="T28" s="226"/>
      <c r="U28" s="226"/>
      <c r="V28" s="226"/>
      <c r="W28" s="227"/>
      <c r="X28" s="3"/>
      <c r="Y28" s="4"/>
      <c r="Z28" s="3"/>
      <c r="AA28" s="5"/>
      <c r="AB28" s="3"/>
      <c r="AC28" s="3"/>
    </row>
    <row r="29" spans="1:29" ht="9.75" customHeight="1" x14ac:dyDescent="0.3">
      <c r="A29" s="4"/>
      <c r="B29" s="3"/>
      <c r="C29" s="76"/>
      <c r="D29" s="73"/>
      <c r="E29" s="73"/>
      <c r="F29" s="73"/>
      <c r="G29" s="73"/>
      <c r="H29" s="73"/>
      <c r="I29" s="73"/>
      <c r="J29" s="73"/>
      <c r="K29" s="73"/>
      <c r="L29" s="3"/>
      <c r="M29" s="75"/>
      <c r="N29" s="75"/>
      <c r="O29" s="15"/>
      <c r="P29" s="15"/>
      <c r="Q29" s="15"/>
      <c r="R29" s="15"/>
      <c r="S29" s="15"/>
      <c r="T29" s="15"/>
      <c r="U29" s="15"/>
      <c r="V29" s="15"/>
      <c r="W29" s="15"/>
      <c r="X29" s="3"/>
      <c r="Y29" s="4"/>
      <c r="Z29" s="3"/>
      <c r="AA29" s="5"/>
      <c r="AB29" s="3"/>
      <c r="AC29" s="3"/>
    </row>
    <row r="30" spans="1:29" ht="31.5" customHeight="1" x14ac:dyDescent="0.3">
      <c r="A30" s="4"/>
      <c r="B30" s="3"/>
      <c r="C30" s="74" t="s">
        <v>88</v>
      </c>
      <c r="D30" s="73"/>
      <c r="E30" s="262" t="s">
        <v>226</v>
      </c>
      <c r="F30" s="226"/>
      <c r="G30" s="226"/>
      <c r="H30" s="226"/>
      <c r="I30" s="226"/>
      <c r="J30" s="226"/>
      <c r="K30" s="227"/>
      <c r="L30" s="3"/>
      <c r="M30" s="74" t="s">
        <v>88</v>
      </c>
      <c r="N30" s="75"/>
      <c r="O30" s="271" t="s">
        <v>204</v>
      </c>
      <c r="P30" s="272"/>
      <c r="Q30" s="272"/>
      <c r="R30" s="272"/>
      <c r="S30" s="272"/>
      <c r="T30" s="272"/>
      <c r="U30" s="272"/>
      <c r="V30" s="272"/>
      <c r="W30" s="273"/>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7" t="s">
        <v>89</v>
      </c>
      <c r="D32" s="78"/>
      <c r="E32" s="78"/>
      <c r="F32" s="78"/>
      <c r="G32" s="78"/>
      <c r="H32" s="78"/>
      <c r="I32" s="78"/>
      <c r="J32" s="78"/>
      <c r="K32" s="78"/>
      <c r="L32" s="14"/>
      <c r="M32" s="266"/>
      <c r="N32" s="207"/>
      <c r="O32" s="207"/>
      <c r="P32" s="207"/>
      <c r="Q32" s="207"/>
      <c r="R32" s="207"/>
      <c r="S32" s="207"/>
      <c r="T32" s="207"/>
      <c r="U32" s="207"/>
      <c r="V32" s="207"/>
      <c r="W32" s="207"/>
      <c r="X32" s="3"/>
      <c r="Y32" s="4"/>
      <c r="Z32" s="3"/>
      <c r="AA32" s="5"/>
      <c r="AB32" s="3"/>
      <c r="AC32" s="3"/>
    </row>
    <row r="33" spans="1:29" ht="9.75" customHeight="1" x14ac:dyDescent="0.3">
      <c r="A33" s="4"/>
      <c r="B33" s="3"/>
      <c r="C33" s="79"/>
      <c r="D33" s="79"/>
      <c r="E33" s="79"/>
      <c r="F33" s="79"/>
      <c r="G33" s="79"/>
      <c r="H33" s="79"/>
      <c r="I33" s="79"/>
      <c r="J33" s="79"/>
      <c r="K33" s="79"/>
      <c r="L33" s="3"/>
      <c r="M33" s="3"/>
      <c r="N33" s="3"/>
      <c r="O33" s="3"/>
      <c r="P33" s="3"/>
      <c r="Q33" s="3"/>
      <c r="R33" s="3"/>
      <c r="S33" s="3"/>
      <c r="T33" s="3"/>
      <c r="U33" s="3"/>
      <c r="V33" s="3"/>
      <c r="W33" s="3"/>
      <c r="X33" s="3"/>
      <c r="Y33" s="4"/>
      <c r="Z33" s="3"/>
      <c r="AA33" s="5"/>
      <c r="AB33" s="3"/>
      <c r="AC33" s="3"/>
    </row>
    <row r="34" spans="1:29" ht="31.5" customHeight="1" x14ac:dyDescent="0.3">
      <c r="A34" s="4"/>
      <c r="B34" s="3"/>
      <c r="C34" s="74" t="s">
        <v>82</v>
      </c>
      <c r="D34" s="79"/>
      <c r="E34" s="267" t="s">
        <v>89</v>
      </c>
      <c r="F34" s="226"/>
      <c r="G34" s="226"/>
      <c r="H34" s="226"/>
      <c r="I34" s="226"/>
      <c r="J34" s="226"/>
      <c r="K34" s="227"/>
      <c r="L34" s="3"/>
      <c r="M34" s="16"/>
      <c r="N34" s="16"/>
      <c r="O34" s="268"/>
      <c r="P34" s="207"/>
      <c r="Q34" s="207"/>
      <c r="R34" s="207"/>
      <c r="S34" s="207"/>
      <c r="T34" s="207"/>
      <c r="U34" s="207"/>
      <c r="V34" s="207"/>
      <c r="W34" s="207"/>
      <c r="X34" s="3"/>
      <c r="Y34" s="4"/>
      <c r="Z34" s="3"/>
      <c r="AA34" s="5"/>
      <c r="AB34" s="3"/>
      <c r="AC34" s="3"/>
    </row>
    <row r="35" spans="1:29" ht="9.75" customHeight="1" x14ac:dyDescent="0.3">
      <c r="A35" s="4"/>
      <c r="B35" s="3"/>
      <c r="C35" s="80"/>
      <c r="D35" s="79"/>
      <c r="E35" s="79"/>
      <c r="F35" s="79"/>
      <c r="G35" s="79"/>
      <c r="H35" s="79"/>
      <c r="I35" s="79"/>
      <c r="J35" s="79"/>
      <c r="K35" s="79"/>
      <c r="L35" s="3"/>
      <c r="M35" s="16"/>
      <c r="N35" s="16"/>
      <c r="O35" s="3"/>
      <c r="P35" s="3"/>
      <c r="Q35" s="3"/>
      <c r="R35" s="3"/>
      <c r="S35" s="3"/>
      <c r="T35" s="3"/>
      <c r="U35" s="3"/>
      <c r="V35" s="3"/>
      <c r="W35" s="3"/>
      <c r="X35" s="3"/>
      <c r="Y35" s="4"/>
      <c r="Z35" s="3"/>
      <c r="AA35" s="5"/>
      <c r="AB35" s="3"/>
      <c r="AC35" s="3"/>
    </row>
    <row r="36" spans="1:29" ht="80.25" customHeight="1" x14ac:dyDescent="0.3">
      <c r="A36" s="4"/>
      <c r="B36" s="3"/>
      <c r="C36" s="74" t="s">
        <v>83</v>
      </c>
      <c r="D36" s="79"/>
      <c r="E36" s="262" t="s">
        <v>246</v>
      </c>
      <c r="F36" s="226"/>
      <c r="G36" s="226"/>
      <c r="H36" s="226"/>
      <c r="I36" s="226"/>
      <c r="J36" s="226"/>
      <c r="K36" s="227"/>
      <c r="L36" s="3"/>
      <c r="M36" s="16"/>
      <c r="N36" s="16"/>
      <c r="O36" s="263"/>
      <c r="P36" s="207"/>
      <c r="Q36" s="207"/>
      <c r="R36" s="207"/>
      <c r="S36" s="207"/>
      <c r="T36" s="207"/>
      <c r="U36" s="207"/>
      <c r="V36" s="207"/>
      <c r="W36" s="207"/>
      <c r="X36" s="3"/>
      <c r="Y36" s="4"/>
      <c r="Z36" s="3"/>
      <c r="AA36" s="5"/>
      <c r="AB36" s="3"/>
      <c r="AC36" s="3"/>
    </row>
    <row r="37" spans="1:29" ht="9.75" customHeight="1" x14ac:dyDescent="0.3">
      <c r="A37" s="4"/>
      <c r="B37" s="3"/>
      <c r="C37" s="80" t="s">
        <v>9</v>
      </c>
      <c r="D37" s="79"/>
      <c r="E37" s="79"/>
      <c r="F37" s="79"/>
      <c r="G37" s="79"/>
      <c r="H37" s="79"/>
      <c r="I37" s="79"/>
      <c r="J37" s="79"/>
      <c r="K37" s="79"/>
      <c r="L37" s="3"/>
      <c r="M37" s="16"/>
      <c r="N37" s="16"/>
      <c r="O37" s="3"/>
      <c r="P37" s="3"/>
      <c r="Q37" s="3"/>
      <c r="R37" s="3"/>
      <c r="S37" s="3"/>
      <c r="T37" s="3"/>
      <c r="U37" s="3"/>
      <c r="V37" s="3"/>
      <c r="W37" s="3"/>
      <c r="X37" s="3"/>
      <c r="Y37" s="4"/>
      <c r="Z37" s="3"/>
      <c r="AA37" s="5"/>
      <c r="AB37" s="3"/>
      <c r="AC37" s="3"/>
    </row>
    <row r="38" spans="1:29" ht="31.5" customHeight="1" x14ac:dyDescent="0.3">
      <c r="A38" s="4"/>
      <c r="B38" s="3"/>
      <c r="C38" s="74" t="s">
        <v>84</v>
      </c>
      <c r="D38" s="79"/>
      <c r="E38" s="262" t="s">
        <v>245</v>
      </c>
      <c r="F38" s="226"/>
      <c r="G38" s="226"/>
      <c r="H38" s="226"/>
      <c r="I38" s="226"/>
      <c r="J38" s="226"/>
      <c r="K38" s="227"/>
      <c r="L38" s="3"/>
      <c r="M38" s="16"/>
      <c r="N38" s="16"/>
      <c r="O38" s="263"/>
      <c r="P38" s="207"/>
      <c r="Q38" s="207"/>
      <c r="R38" s="207"/>
      <c r="S38" s="207"/>
      <c r="T38" s="207"/>
      <c r="U38" s="207"/>
      <c r="V38" s="207"/>
      <c r="W38" s="207"/>
      <c r="X38" s="3"/>
      <c r="Y38" s="4"/>
      <c r="Z38" s="3"/>
      <c r="AA38" s="5"/>
      <c r="AB38" s="3"/>
      <c r="AC38" s="3"/>
    </row>
    <row r="39" spans="1:29" ht="9.75" customHeight="1" x14ac:dyDescent="0.3">
      <c r="A39" s="4"/>
      <c r="B39" s="3"/>
      <c r="C39" s="80" t="s">
        <v>9</v>
      </c>
      <c r="D39" s="79"/>
      <c r="E39" s="79"/>
      <c r="F39" s="79"/>
      <c r="G39" s="79"/>
      <c r="H39" s="79"/>
      <c r="I39" s="79"/>
      <c r="J39" s="79"/>
      <c r="K39" s="79"/>
      <c r="L39" s="3"/>
      <c r="M39" s="16"/>
      <c r="N39" s="16"/>
      <c r="O39" s="3"/>
      <c r="P39" s="3"/>
      <c r="Q39" s="3"/>
      <c r="R39" s="3"/>
      <c r="S39" s="3"/>
      <c r="T39" s="3"/>
      <c r="U39" s="3"/>
      <c r="V39" s="3"/>
      <c r="W39" s="3"/>
      <c r="X39" s="3"/>
      <c r="Y39" s="4"/>
      <c r="Z39" s="3"/>
      <c r="AA39" s="5"/>
      <c r="AB39" s="3"/>
      <c r="AC39" s="3"/>
    </row>
    <row r="40" spans="1:29" ht="31.5" customHeight="1" x14ac:dyDescent="0.3">
      <c r="A40" s="4"/>
      <c r="B40" s="3"/>
      <c r="C40" s="74" t="s">
        <v>85</v>
      </c>
      <c r="D40" s="79"/>
      <c r="E40" s="262" t="s">
        <v>247</v>
      </c>
      <c r="F40" s="226"/>
      <c r="G40" s="226"/>
      <c r="H40" s="226"/>
      <c r="I40" s="226"/>
      <c r="J40" s="226"/>
      <c r="K40" s="227"/>
      <c r="L40" s="3"/>
      <c r="M40" s="16"/>
      <c r="N40" s="16"/>
      <c r="O40" s="263"/>
      <c r="P40" s="207"/>
      <c r="Q40" s="207"/>
      <c r="R40" s="207"/>
      <c r="S40" s="207"/>
      <c r="T40" s="207"/>
      <c r="U40" s="207"/>
      <c r="V40" s="207"/>
      <c r="W40" s="207"/>
      <c r="X40" s="3"/>
      <c r="Y40" s="4"/>
      <c r="Z40" s="3"/>
      <c r="AA40" s="5"/>
      <c r="AB40" s="3"/>
      <c r="AC40" s="3"/>
    </row>
    <row r="41" spans="1:29" ht="9.75" customHeight="1" x14ac:dyDescent="0.3">
      <c r="A41" s="4"/>
      <c r="B41" s="3"/>
      <c r="C41" s="80" t="s">
        <v>9</v>
      </c>
      <c r="D41" s="79"/>
      <c r="E41" s="79"/>
      <c r="F41" s="79"/>
      <c r="G41" s="79"/>
      <c r="H41" s="79"/>
      <c r="I41" s="79"/>
      <c r="J41" s="79"/>
      <c r="K41" s="79"/>
      <c r="L41" s="3"/>
      <c r="M41" s="16"/>
      <c r="N41" s="16"/>
      <c r="O41" s="3"/>
      <c r="P41" s="3"/>
      <c r="Q41" s="3"/>
      <c r="R41" s="3"/>
      <c r="S41" s="3"/>
      <c r="T41" s="3"/>
      <c r="U41" s="3"/>
      <c r="V41" s="3"/>
      <c r="W41" s="3"/>
      <c r="X41" s="3"/>
      <c r="Y41" s="4"/>
      <c r="Z41" s="3"/>
      <c r="AA41" s="5"/>
      <c r="AB41" s="3"/>
      <c r="AC41" s="3"/>
    </row>
    <row r="42" spans="1:29" ht="31.5" customHeight="1" x14ac:dyDescent="0.3">
      <c r="A42" s="4"/>
      <c r="B42" s="3"/>
      <c r="C42" s="74" t="s">
        <v>86</v>
      </c>
      <c r="D42" s="79"/>
      <c r="E42" s="265" t="s">
        <v>90</v>
      </c>
      <c r="F42" s="226"/>
      <c r="G42" s="226"/>
      <c r="H42" s="226"/>
      <c r="I42" s="226"/>
      <c r="J42" s="226"/>
      <c r="K42" s="227"/>
      <c r="L42" s="3"/>
      <c r="M42" s="16"/>
      <c r="N42" s="16"/>
      <c r="O42" s="263"/>
      <c r="P42" s="207"/>
      <c r="Q42" s="207"/>
      <c r="R42" s="207"/>
      <c r="S42" s="207"/>
      <c r="T42" s="207"/>
      <c r="U42" s="207"/>
      <c r="V42" s="207"/>
      <c r="W42" s="207"/>
      <c r="X42" s="3"/>
      <c r="Y42" s="4"/>
      <c r="Z42" s="3"/>
      <c r="AA42" s="5"/>
      <c r="AB42" s="3"/>
      <c r="AC42" s="3"/>
    </row>
    <row r="43" spans="1:29" ht="9.75" customHeight="1" x14ac:dyDescent="0.3">
      <c r="A43" s="4"/>
      <c r="B43" s="3"/>
      <c r="C43" s="80"/>
      <c r="D43" s="79"/>
      <c r="E43" s="79"/>
      <c r="F43" s="79"/>
      <c r="G43" s="79"/>
      <c r="H43" s="79"/>
      <c r="I43" s="79"/>
      <c r="J43" s="79"/>
      <c r="K43" s="79"/>
      <c r="L43" s="3"/>
      <c r="M43" s="16"/>
      <c r="N43" s="16"/>
      <c r="O43" s="3"/>
      <c r="P43" s="3"/>
      <c r="Q43" s="3"/>
      <c r="R43" s="3"/>
      <c r="S43" s="3"/>
      <c r="T43" s="3"/>
      <c r="U43" s="3"/>
      <c r="V43" s="3"/>
      <c r="W43" s="3"/>
      <c r="X43" s="3"/>
      <c r="Y43" s="4"/>
      <c r="Z43" s="3"/>
      <c r="AA43" s="5"/>
      <c r="AB43" s="3"/>
      <c r="AC43" s="3"/>
    </row>
    <row r="44" spans="1:29" ht="31.5" customHeight="1" x14ac:dyDescent="0.3">
      <c r="A44" s="4"/>
      <c r="B44" s="3"/>
      <c r="C44" s="74" t="s">
        <v>87</v>
      </c>
      <c r="D44" s="79"/>
      <c r="E44" s="261" t="s">
        <v>219</v>
      </c>
      <c r="F44" s="226"/>
      <c r="G44" s="226"/>
      <c r="H44" s="226"/>
      <c r="I44" s="226"/>
      <c r="J44" s="226"/>
      <c r="K44" s="227"/>
      <c r="L44" s="3"/>
      <c r="M44" s="16"/>
      <c r="N44" s="16"/>
      <c r="O44" s="263"/>
      <c r="P44" s="207"/>
      <c r="Q44" s="207"/>
      <c r="R44" s="207"/>
      <c r="S44" s="207"/>
      <c r="T44" s="207"/>
      <c r="U44" s="207"/>
      <c r="V44" s="207"/>
      <c r="W44" s="207"/>
      <c r="X44" s="3"/>
      <c r="Y44" s="4"/>
      <c r="Z44" s="3"/>
      <c r="AA44" s="5"/>
      <c r="AB44" s="3"/>
      <c r="AC44" s="3"/>
    </row>
    <row r="45" spans="1:29" ht="9.75" customHeight="1" x14ac:dyDescent="0.3">
      <c r="A45" s="4"/>
      <c r="B45" s="3"/>
      <c r="C45" s="80"/>
      <c r="D45" s="79"/>
      <c r="E45" s="79"/>
      <c r="F45" s="79"/>
      <c r="G45" s="79"/>
      <c r="H45" s="79"/>
      <c r="I45" s="79"/>
      <c r="J45" s="79"/>
      <c r="K45" s="79"/>
      <c r="L45" s="3"/>
      <c r="M45" s="16"/>
      <c r="N45" s="16"/>
      <c r="O45" s="3"/>
      <c r="P45" s="3"/>
      <c r="Q45" s="3"/>
      <c r="R45" s="3"/>
      <c r="S45" s="3"/>
      <c r="T45" s="3"/>
      <c r="U45" s="3"/>
      <c r="V45" s="3"/>
      <c r="W45" s="3"/>
      <c r="X45" s="3"/>
      <c r="Y45" s="4"/>
      <c r="Z45" s="3"/>
      <c r="AA45" s="5"/>
      <c r="AB45" s="3"/>
      <c r="AC45" s="3"/>
    </row>
    <row r="46" spans="1:29" ht="31.5" customHeight="1" x14ac:dyDescent="0.3">
      <c r="A46" s="4"/>
      <c r="B46" s="3"/>
      <c r="C46" s="74" t="s">
        <v>88</v>
      </c>
      <c r="D46" s="79"/>
      <c r="E46" s="262" t="s">
        <v>227</v>
      </c>
      <c r="F46" s="226"/>
      <c r="G46" s="226"/>
      <c r="H46" s="226"/>
      <c r="I46" s="226"/>
      <c r="J46" s="226"/>
      <c r="K46" s="227"/>
      <c r="L46" s="3"/>
      <c r="M46" s="16"/>
      <c r="N46" s="16"/>
      <c r="O46" s="263"/>
      <c r="P46" s="207"/>
      <c r="Q46" s="207"/>
      <c r="R46" s="207"/>
      <c r="S46" s="207"/>
      <c r="T46" s="207"/>
      <c r="U46" s="207"/>
      <c r="V46" s="207"/>
      <c r="W46" s="207"/>
      <c r="X46" s="3"/>
      <c r="Y46" s="4"/>
      <c r="Z46" s="3"/>
      <c r="AA46" s="5"/>
      <c r="AB46" s="3"/>
      <c r="AC46" s="3"/>
    </row>
    <row r="47" spans="1:29" ht="9.75" customHeight="1" x14ac:dyDescent="0.3">
      <c r="A47" s="4"/>
      <c r="B47" s="3"/>
      <c r="C47" s="16"/>
      <c r="D47" s="3"/>
      <c r="E47" s="82"/>
      <c r="F47" s="82"/>
      <c r="G47" s="82"/>
      <c r="H47" s="82"/>
      <c r="I47" s="82"/>
      <c r="J47" s="82"/>
      <c r="K47" s="82"/>
      <c r="L47" s="3"/>
      <c r="M47" s="16"/>
      <c r="N47" s="16"/>
      <c r="O47" s="81"/>
      <c r="P47" s="81"/>
      <c r="Q47" s="81"/>
      <c r="R47" s="81"/>
      <c r="S47" s="81"/>
      <c r="T47" s="81"/>
      <c r="U47" s="81"/>
      <c r="V47" s="81"/>
      <c r="W47" s="81"/>
      <c r="X47" s="3"/>
      <c r="Y47" s="4"/>
      <c r="Z47" s="3"/>
      <c r="AA47" s="5"/>
      <c r="AB47" s="3"/>
      <c r="AC47" s="3"/>
    </row>
    <row r="48" spans="1:29" ht="31.5" customHeight="1" x14ac:dyDescent="0.3">
      <c r="A48" s="4"/>
      <c r="B48" s="3"/>
      <c r="C48" s="264" t="s">
        <v>91</v>
      </c>
      <c r="D48" s="199"/>
      <c r="E48" s="199"/>
      <c r="F48" s="199"/>
      <c r="G48" s="199"/>
      <c r="H48" s="199"/>
      <c r="I48" s="199"/>
      <c r="J48" s="199"/>
      <c r="K48" s="199"/>
      <c r="L48" s="199"/>
      <c r="M48" s="199"/>
      <c r="N48" s="199"/>
      <c r="O48" s="199"/>
      <c r="P48" s="199"/>
      <c r="Q48" s="199"/>
      <c r="R48" s="199"/>
      <c r="S48" s="199"/>
      <c r="T48" s="199"/>
      <c r="U48" s="200"/>
      <c r="V48" s="83">
        <v>3</v>
      </c>
      <c r="W48" s="84"/>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9">
    <mergeCell ref="A1:Y1"/>
    <mergeCell ref="A4:C6"/>
    <mergeCell ref="E5:I5"/>
    <mergeCell ref="K5:O5"/>
    <mergeCell ref="R5:W5"/>
    <mergeCell ref="A8:Y8"/>
    <mergeCell ref="C10:W10"/>
    <mergeCell ref="C12:W12"/>
    <mergeCell ref="C14:W14"/>
    <mergeCell ref="E18:K18"/>
    <mergeCell ref="O18:W18"/>
    <mergeCell ref="E20:K20"/>
    <mergeCell ref="O20:W20"/>
    <mergeCell ref="O22:W22"/>
    <mergeCell ref="E22:K22"/>
    <mergeCell ref="E24:K24"/>
    <mergeCell ref="O24:W24"/>
    <mergeCell ref="E26:K26"/>
    <mergeCell ref="O26:W26"/>
    <mergeCell ref="E28:K28"/>
    <mergeCell ref="O28:W28"/>
    <mergeCell ref="E30:K30"/>
    <mergeCell ref="O30:W30"/>
    <mergeCell ref="M32:W32"/>
    <mergeCell ref="E34:K34"/>
    <mergeCell ref="O34:W34"/>
    <mergeCell ref="E36:K36"/>
    <mergeCell ref="O36:W36"/>
    <mergeCell ref="E44:K44"/>
    <mergeCell ref="E46:K46"/>
    <mergeCell ref="O46:W46"/>
    <mergeCell ref="C48:U48"/>
    <mergeCell ref="E38:K38"/>
    <mergeCell ref="O38:W38"/>
    <mergeCell ref="E40:K40"/>
    <mergeCell ref="O40:W40"/>
    <mergeCell ref="E42:K42"/>
    <mergeCell ref="O42:W42"/>
    <mergeCell ref="O44:W44"/>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orientation="portrait" r:id="rId1"/>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showGridLines="0" zoomScale="82" zoomScaleNormal="82" workbookViewId="0">
      <selection activeCell="U70" sqref="U70"/>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796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201" t="s">
        <v>92</v>
      </c>
      <c r="B1" s="199"/>
      <c r="C1" s="199"/>
      <c r="D1" s="199"/>
      <c r="E1" s="199"/>
      <c r="F1" s="199"/>
      <c r="G1" s="199"/>
      <c r="H1" s="199"/>
      <c r="I1" s="199"/>
      <c r="J1" s="199"/>
      <c r="K1" s="199"/>
      <c r="L1" s="199"/>
      <c r="M1" s="199"/>
      <c r="N1" s="199"/>
      <c r="O1" s="199"/>
      <c r="P1" s="199"/>
      <c r="Q1" s="199"/>
      <c r="R1" s="199"/>
      <c r="S1" s="199"/>
      <c r="T1" s="199"/>
      <c r="U1" s="199"/>
      <c r="V1" s="199"/>
      <c r="W1" s="199"/>
      <c r="X1" s="200"/>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03" t="s">
        <v>2</v>
      </c>
      <c r="B4" s="204"/>
      <c r="C4" s="205"/>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206"/>
      <c r="B5" s="207"/>
      <c r="C5" s="208"/>
      <c r="D5" s="6"/>
      <c r="E5" s="300" t="str">
        <f>'1. Résumé'!E6</f>
        <v>FKT 04/18_Tanambao</v>
      </c>
      <c r="F5" s="199"/>
      <c r="G5" s="199"/>
      <c r="H5" s="199"/>
      <c r="I5" s="200"/>
      <c r="J5" s="7"/>
      <c r="K5" s="260" t="str">
        <f>'1. Résumé'!G8</f>
        <v>Pays : Madagascar</v>
      </c>
      <c r="L5" s="199"/>
      <c r="M5" s="199"/>
      <c r="N5" s="199"/>
      <c r="O5" s="200"/>
      <c r="P5" s="7"/>
      <c r="Q5" s="7"/>
      <c r="R5" s="260" t="str">
        <f>'1. Résumé'!E10</f>
        <v>Société nationale : Croix-Rouge Malagasy</v>
      </c>
      <c r="S5" s="199"/>
      <c r="T5" s="199"/>
      <c r="U5" s="199"/>
      <c r="V5" s="200"/>
      <c r="W5" s="7"/>
      <c r="X5" s="7"/>
      <c r="Y5" s="3"/>
      <c r="Z5" s="3"/>
      <c r="AA5" s="3"/>
      <c r="AB5" s="3"/>
    </row>
    <row r="6" spans="1:28" ht="9.75" customHeight="1" x14ac:dyDescent="0.3">
      <c r="A6" s="209"/>
      <c r="B6" s="210"/>
      <c r="C6" s="211"/>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274" t="s">
        <v>93</v>
      </c>
      <c r="B8" s="199"/>
      <c r="C8" s="199"/>
      <c r="D8" s="199"/>
      <c r="E8" s="199"/>
      <c r="F8" s="199"/>
      <c r="G8" s="199"/>
      <c r="H8" s="199"/>
      <c r="I8" s="199"/>
      <c r="J8" s="199"/>
      <c r="K8" s="199"/>
      <c r="L8" s="199"/>
      <c r="M8" s="199"/>
      <c r="N8" s="199"/>
      <c r="O8" s="199"/>
      <c r="P8" s="199"/>
      <c r="Q8" s="199"/>
      <c r="R8" s="199"/>
      <c r="S8" s="199"/>
      <c r="T8" s="199"/>
      <c r="U8" s="199"/>
      <c r="V8" s="199"/>
      <c r="W8" s="199"/>
      <c r="X8" s="200"/>
      <c r="Y8" s="3"/>
      <c r="Z8" s="3"/>
      <c r="AA8" s="3"/>
      <c r="AB8" s="3" t="s">
        <v>9</v>
      </c>
    </row>
    <row r="9" spans="1:28" ht="9.75" customHeight="1" x14ac:dyDescent="0.3">
      <c r="A9" s="68"/>
      <c r="B9" s="69"/>
      <c r="C9" s="69"/>
      <c r="D9" s="69"/>
      <c r="E9" s="69"/>
      <c r="F9" s="69"/>
      <c r="G9" s="69"/>
      <c r="H9" s="69"/>
      <c r="I9" s="69"/>
      <c r="J9" s="69"/>
      <c r="K9" s="69"/>
      <c r="L9" s="69"/>
      <c r="M9" s="69"/>
      <c r="N9" s="69"/>
      <c r="O9" s="69"/>
      <c r="P9" s="69"/>
      <c r="Q9" s="69"/>
      <c r="R9" s="69"/>
      <c r="S9" s="69"/>
      <c r="T9" s="69"/>
      <c r="U9" s="69"/>
      <c r="V9" s="69"/>
      <c r="W9" s="69"/>
      <c r="X9" s="68"/>
      <c r="Y9" s="3"/>
      <c r="Z9" s="3"/>
      <c r="AA9" s="3"/>
      <c r="AB9" s="3"/>
    </row>
    <row r="10" spans="1:28" ht="19.5" customHeight="1" x14ac:dyDescent="0.3">
      <c r="A10" s="4"/>
      <c r="B10" s="3"/>
      <c r="C10" s="212" t="s">
        <v>94</v>
      </c>
      <c r="D10" s="199"/>
      <c r="E10" s="199"/>
      <c r="F10" s="199"/>
      <c r="G10" s="199"/>
      <c r="H10" s="199"/>
      <c r="I10" s="199"/>
      <c r="J10" s="199"/>
      <c r="K10" s="199"/>
      <c r="L10" s="199"/>
      <c r="M10" s="199"/>
      <c r="N10" s="199"/>
      <c r="O10" s="199"/>
      <c r="P10" s="199"/>
      <c r="Q10" s="199"/>
      <c r="R10" s="199"/>
      <c r="S10" s="199"/>
      <c r="T10" s="199"/>
      <c r="U10" s="199"/>
      <c r="V10" s="200"/>
      <c r="W10" s="3"/>
      <c r="X10" s="4"/>
      <c r="Y10" s="3"/>
      <c r="Z10" s="3"/>
      <c r="AA10" s="3"/>
      <c r="AB10" s="3"/>
    </row>
    <row r="11" spans="1:28" ht="9.75" customHeight="1" x14ac:dyDescent="0.3">
      <c r="A11" s="4"/>
      <c r="B11" s="3"/>
      <c r="C11" s="3" t="s">
        <v>9</v>
      </c>
      <c r="D11" s="3"/>
      <c r="E11" s="3"/>
      <c r="F11" s="3"/>
      <c r="G11" s="3"/>
      <c r="H11" s="3" t="s">
        <v>9</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51" t="s">
        <v>237</v>
      </c>
      <c r="D12" s="252"/>
      <c r="E12" s="252"/>
      <c r="F12" s="252"/>
      <c r="G12" s="252"/>
      <c r="H12" s="252"/>
      <c r="I12" s="252"/>
      <c r="J12" s="252"/>
      <c r="K12" s="252"/>
      <c r="L12" s="252"/>
      <c r="M12" s="252"/>
      <c r="N12" s="252"/>
      <c r="O12" s="252"/>
      <c r="P12" s="252"/>
      <c r="Q12" s="252"/>
      <c r="R12" s="252"/>
      <c r="S12" s="252"/>
      <c r="T12" s="252"/>
      <c r="U12" s="252"/>
      <c r="V12" s="253"/>
      <c r="W12" s="3"/>
      <c r="X12" s="4"/>
      <c r="Y12" s="3"/>
      <c r="Z12" s="3"/>
      <c r="AA12" s="3"/>
      <c r="AB12" s="3"/>
    </row>
    <row r="13" spans="1:28" ht="9.75" customHeight="1" x14ac:dyDescent="0.3">
      <c r="A13" s="4"/>
      <c r="B13" s="3"/>
      <c r="C13" s="85"/>
      <c r="D13" s="85"/>
      <c r="E13" s="85"/>
      <c r="F13" s="85"/>
      <c r="G13" s="85"/>
      <c r="H13" s="85"/>
      <c r="I13" s="85"/>
      <c r="J13" s="85"/>
      <c r="K13" s="85"/>
      <c r="L13" s="85"/>
      <c r="M13" s="85"/>
      <c r="N13" s="85"/>
      <c r="O13" s="85"/>
      <c r="P13" s="85"/>
      <c r="Q13" s="85"/>
      <c r="R13" s="85"/>
      <c r="S13" s="85"/>
      <c r="T13" s="85"/>
      <c r="U13" s="85"/>
      <c r="V13" s="85"/>
      <c r="W13" s="3"/>
      <c r="X13" s="4"/>
      <c r="Y13" s="3"/>
      <c r="Z13" s="3"/>
      <c r="AA13" s="3"/>
      <c r="AB13" s="3"/>
    </row>
    <row r="14" spans="1:28" ht="31.5" customHeight="1" x14ac:dyDescent="0.3">
      <c r="A14" s="4" t="s">
        <v>95</v>
      </c>
      <c r="B14" s="3"/>
      <c r="C14" s="301" t="s">
        <v>96</v>
      </c>
      <c r="D14" s="199"/>
      <c r="E14" s="199"/>
      <c r="F14" s="199"/>
      <c r="G14" s="199"/>
      <c r="H14" s="199"/>
      <c r="I14" s="199"/>
      <c r="J14" s="199"/>
      <c r="K14" s="200"/>
      <c r="L14" s="85"/>
      <c r="M14" s="301" t="s">
        <v>97</v>
      </c>
      <c r="N14" s="199"/>
      <c r="O14" s="199"/>
      <c r="P14" s="199"/>
      <c r="Q14" s="199"/>
      <c r="R14" s="199"/>
      <c r="S14" s="199"/>
      <c r="T14" s="199"/>
      <c r="U14" s="199"/>
      <c r="V14" s="200"/>
      <c r="W14" s="3"/>
      <c r="X14" s="4"/>
      <c r="Y14" s="3"/>
      <c r="Z14" s="3"/>
      <c r="AA14" s="3"/>
      <c r="AB14" s="3"/>
    </row>
    <row r="15" spans="1:28" ht="9.75" customHeight="1" x14ac:dyDescent="0.3">
      <c r="A15" s="4"/>
      <c r="B15" s="3"/>
      <c r="C15" s="86"/>
      <c r="D15" s="86"/>
      <c r="E15" s="86"/>
      <c r="F15" s="86"/>
      <c r="G15" s="86"/>
      <c r="H15" s="86"/>
      <c r="I15" s="86"/>
      <c r="J15" s="86"/>
      <c r="K15" s="86"/>
      <c r="L15" s="3"/>
      <c r="M15" s="86"/>
      <c r="N15" s="86"/>
      <c r="O15" s="86"/>
      <c r="P15" s="86"/>
      <c r="Q15" s="86"/>
      <c r="R15" s="86"/>
      <c r="S15" s="86"/>
      <c r="T15" s="86"/>
      <c r="U15" s="86"/>
      <c r="V15" s="86"/>
      <c r="W15" s="3"/>
      <c r="X15" s="4"/>
      <c r="Y15" s="3"/>
      <c r="Z15" s="3"/>
      <c r="AA15" s="3"/>
      <c r="AB15" s="3"/>
    </row>
    <row r="16" spans="1:28" ht="49.5" customHeight="1" x14ac:dyDescent="0.3">
      <c r="A16" s="4"/>
      <c r="B16" s="3"/>
      <c r="C16" s="87" t="s">
        <v>98</v>
      </c>
      <c r="D16" s="86"/>
      <c r="E16" s="251" t="s">
        <v>248</v>
      </c>
      <c r="F16" s="226"/>
      <c r="G16" s="226"/>
      <c r="H16" s="226"/>
      <c r="I16" s="226"/>
      <c r="J16" s="226"/>
      <c r="K16" s="227"/>
      <c r="L16" s="3"/>
      <c r="M16" s="87" t="s">
        <v>98</v>
      </c>
      <c r="N16" s="88"/>
      <c r="O16" s="251" t="s">
        <v>250</v>
      </c>
      <c r="P16" s="226"/>
      <c r="Q16" s="226"/>
      <c r="R16" s="226"/>
      <c r="S16" s="226"/>
      <c r="T16" s="226"/>
      <c r="U16" s="226"/>
      <c r="V16" s="227"/>
      <c r="W16" s="3"/>
      <c r="X16" s="4"/>
      <c r="Y16" s="3"/>
      <c r="Z16" s="3"/>
      <c r="AA16" s="3"/>
      <c r="AB16" s="3"/>
    </row>
    <row r="17" spans="1:28" ht="9.75" customHeight="1" x14ac:dyDescent="0.3">
      <c r="A17" s="4"/>
      <c r="B17" s="3"/>
      <c r="C17" s="88" t="s">
        <v>9</v>
      </c>
      <c r="D17" s="86"/>
      <c r="E17" s="86"/>
      <c r="F17" s="86"/>
      <c r="G17" s="86"/>
      <c r="H17" s="86"/>
      <c r="I17" s="86"/>
      <c r="J17" s="86"/>
      <c r="K17" s="86"/>
      <c r="L17" s="3"/>
      <c r="M17" s="88" t="s">
        <v>9</v>
      </c>
      <c r="N17" s="88"/>
      <c r="O17" s="86"/>
      <c r="P17" s="86"/>
      <c r="Q17" s="86"/>
      <c r="R17" s="86"/>
      <c r="S17" s="86"/>
      <c r="T17" s="86"/>
      <c r="U17" s="86"/>
      <c r="V17" s="86"/>
      <c r="W17" s="3"/>
      <c r="X17" s="4"/>
      <c r="Y17" s="3"/>
      <c r="Z17" s="3"/>
      <c r="AA17" s="3"/>
      <c r="AB17" s="3"/>
    </row>
    <row r="18" spans="1:28" ht="49.5" customHeight="1" x14ac:dyDescent="0.3">
      <c r="A18" s="4"/>
      <c r="B18" s="3"/>
      <c r="C18" s="87" t="s">
        <v>99</v>
      </c>
      <c r="D18" s="86"/>
      <c r="E18" s="251" t="s">
        <v>249</v>
      </c>
      <c r="F18" s="226"/>
      <c r="G18" s="226"/>
      <c r="H18" s="226"/>
      <c r="I18" s="226"/>
      <c r="J18" s="226"/>
      <c r="K18" s="227"/>
      <c r="L18" s="3"/>
      <c r="M18" s="87" t="s">
        <v>99</v>
      </c>
      <c r="N18" s="88"/>
      <c r="O18" s="261" t="s">
        <v>250</v>
      </c>
      <c r="P18" s="226"/>
      <c r="Q18" s="226"/>
      <c r="R18" s="226"/>
      <c r="S18" s="226"/>
      <c r="T18" s="226"/>
      <c r="U18" s="226"/>
      <c r="V18" s="227"/>
      <c r="W18" s="3"/>
      <c r="X18" s="4"/>
      <c r="Y18" s="3"/>
      <c r="Z18" s="3"/>
      <c r="AA18" s="3"/>
      <c r="AB18" s="3"/>
    </row>
    <row r="19" spans="1:28" ht="9.75" customHeight="1" x14ac:dyDescent="0.3">
      <c r="A19" s="4"/>
      <c r="B19" s="3"/>
      <c r="C19" s="88" t="s">
        <v>9</v>
      </c>
      <c r="D19" s="86"/>
      <c r="E19" s="86"/>
      <c r="F19" s="86"/>
      <c r="G19" s="86"/>
      <c r="H19" s="86"/>
      <c r="I19" s="86"/>
      <c r="J19" s="86"/>
      <c r="K19" s="86"/>
      <c r="L19" s="3"/>
      <c r="M19" s="88" t="s">
        <v>9</v>
      </c>
      <c r="N19" s="88"/>
      <c r="O19" s="86"/>
      <c r="P19" s="86"/>
      <c r="Q19" s="86"/>
      <c r="R19" s="86"/>
      <c r="S19" s="86"/>
      <c r="T19" s="86"/>
      <c r="U19" s="86"/>
      <c r="V19" s="86"/>
      <c r="W19" s="3"/>
      <c r="X19" s="4"/>
      <c r="Y19" s="3"/>
      <c r="Z19" s="3"/>
      <c r="AA19" s="3"/>
      <c r="AB19" s="3"/>
    </row>
    <row r="20" spans="1:28" ht="49.5" customHeight="1" x14ac:dyDescent="0.3">
      <c r="A20" s="4"/>
      <c r="B20" s="3"/>
      <c r="C20" s="87" t="s">
        <v>100</v>
      </c>
      <c r="D20" s="86"/>
      <c r="E20" s="251"/>
      <c r="F20" s="226"/>
      <c r="G20" s="226"/>
      <c r="H20" s="226"/>
      <c r="I20" s="226"/>
      <c r="J20" s="226"/>
      <c r="K20" s="227"/>
      <c r="L20" s="3"/>
      <c r="M20" s="87" t="s">
        <v>100</v>
      </c>
      <c r="N20" s="88"/>
      <c r="O20" s="261"/>
      <c r="P20" s="226"/>
      <c r="Q20" s="226"/>
      <c r="R20" s="226"/>
      <c r="S20" s="226"/>
      <c r="T20" s="226"/>
      <c r="U20" s="226"/>
      <c r="V20" s="227"/>
      <c r="W20" s="3"/>
      <c r="X20" s="4"/>
      <c r="Y20" s="3"/>
      <c r="Z20" s="3"/>
      <c r="AA20" s="3"/>
      <c r="AB20" s="3"/>
    </row>
    <row r="21" spans="1:28" ht="9.75" customHeight="1" x14ac:dyDescent="0.3">
      <c r="A21" s="4"/>
      <c r="B21" s="3"/>
      <c r="C21" s="88" t="s">
        <v>9</v>
      </c>
      <c r="D21" s="86"/>
      <c r="E21" s="86"/>
      <c r="F21" s="86"/>
      <c r="G21" s="86"/>
      <c r="H21" s="86"/>
      <c r="I21" s="86"/>
      <c r="J21" s="86"/>
      <c r="K21" s="86"/>
      <c r="L21" s="3"/>
      <c r="M21" s="88" t="s">
        <v>9</v>
      </c>
      <c r="N21" s="88"/>
      <c r="O21" s="86"/>
      <c r="P21" s="86"/>
      <c r="Q21" s="86"/>
      <c r="R21" s="86"/>
      <c r="S21" s="86"/>
      <c r="T21" s="86"/>
      <c r="U21" s="86"/>
      <c r="V21" s="86"/>
      <c r="W21" s="3"/>
      <c r="X21" s="4"/>
      <c r="Y21" s="3"/>
      <c r="Z21" s="3"/>
      <c r="AA21" s="3"/>
      <c r="AB21" s="3"/>
    </row>
    <row r="22" spans="1:28" ht="49.5" customHeight="1" x14ac:dyDescent="0.3">
      <c r="A22" s="4"/>
      <c r="B22" s="3"/>
      <c r="C22" s="87" t="s">
        <v>101</v>
      </c>
      <c r="D22" s="86"/>
      <c r="E22" s="251"/>
      <c r="F22" s="226"/>
      <c r="G22" s="226"/>
      <c r="H22" s="226"/>
      <c r="I22" s="226"/>
      <c r="J22" s="226"/>
      <c r="K22" s="227"/>
      <c r="L22" s="3"/>
      <c r="M22" s="87" t="s">
        <v>101</v>
      </c>
      <c r="N22" s="88"/>
      <c r="O22" s="261"/>
      <c r="P22" s="226"/>
      <c r="Q22" s="226"/>
      <c r="R22" s="226"/>
      <c r="S22" s="226"/>
      <c r="T22" s="226"/>
      <c r="U22" s="226"/>
      <c r="V22" s="227"/>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23" t="str">
        <f>'3. Dangers'!C16</f>
        <v xml:space="preserve">Inondation </v>
      </c>
      <c r="D24" s="89"/>
      <c r="E24" s="299"/>
      <c r="F24" s="199"/>
      <c r="G24" s="199"/>
      <c r="H24" s="199"/>
      <c r="I24" s="199"/>
      <c r="J24" s="199"/>
      <c r="K24" s="200"/>
      <c r="L24" s="90"/>
      <c r="M24" s="91"/>
      <c r="N24" s="90"/>
      <c r="O24" s="90"/>
      <c r="P24" s="90"/>
      <c r="Q24" s="90"/>
      <c r="R24" s="90"/>
      <c r="S24" s="90"/>
      <c r="T24" s="90"/>
      <c r="U24" s="90"/>
      <c r="V24" s="90"/>
      <c r="W24" s="3"/>
      <c r="X24" s="4"/>
      <c r="Y24" s="3"/>
      <c r="Z24" s="3"/>
      <c r="AA24" s="3"/>
      <c r="AB24" s="3"/>
    </row>
    <row r="25" spans="1:28" ht="12" customHeight="1" x14ac:dyDescent="0.3">
      <c r="A25" s="4"/>
      <c r="B25" s="3"/>
      <c r="C25" s="293"/>
      <c r="D25" s="196"/>
      <c r="E25" s="196"/>
      <c r="F25" s="196"/>
      <c r="G25" s="196"/>
      <c r="H25" s="196"/>
      <c r="I25" s="196"/>
      <c r="J25" s="196"/>
      <c r="K25" s="196"/>
      <c r="L25" s="196"/>
      <c r="M25" s="196"/>
      <c r="N25" s="196"/>
      <c r="O25" s="196"/>
      <c r="P25" s="196"/>
      <c r="Q25" s="196"/>
      <c r="R25" s="196"/>
      <c r="S25" s="196"/>
      <c r="T25" s="196"/>
      <c r="U25" s="196"/>
      <c r="V25" s="197"/>
      <c r="W25" s="3"/>
      <c r="X25" s="4"/>
      <c r="Y25" s="3"/>
      <c r="Z25" s="3"/>
      <c r="AA25" s="3"/>
      <c r="AB25" s="3"/>
    </row>
    <row r="26" spans="1:28" ht="31.5" customHeight="1" x14ac:dyDescent="0.3">
      <c r="A26" s="4"/>
      <c r="B26" s="3"/>
      <c r="C26" s="298" t="s">
        <v>103</v>
      </c>
      <c r="D26" s="196"/>
      <c r="E26" s="196"/>
      <c r="F26" s="196"/>
      <c r="G26" s="196"/>
      <c r="H26" s="196"/>
      <c r="I26" s="196"/>
      <c r="J26" s="196"/>
      <c r="K26" s="196"/>
      <c r="L26" s="196"/>
      <c r="M26" s="196"/>
      <c r="N26" s="196"/>
      <c r="O26" s="196"/>
      <c r="P26" s="196"/>
      <c r="Q26" s="196"/>
      <c r="R26" s="196"/>
      <c r="S26" s="196"/>
      <c r="T26" s="196"/>
      <c r="U26" s="196"/>
      <c r="V26" s="197"/>
      <c r="W26" s="3"/>
      <c r="X26" s="4"/>
      <c r="Y26" s="3"/>
      <c r="Z26" s="3"/>
      <c r="AA26" s="3"/>
      <c r="AB26" s="3"/>
    </row>
    <row r="27" spans="1:28" ht="12" customHeight="1" x14ac:dyDescent="0.3">
      <c r="A27" s="4"/>
      <c r="B27" s="3"/>
      <c r="C27" s="293"/>
      <c r="D27" s="196"/>
      <c r="E27" s="196"/>
      <c r="F27" s="196"/>
      <c r="G27" s="196"/>
      <c r="H27" s="196"/>
      <c r="I27" s="196"/>
      <c r="J27" s="196"/>
      <c r="K27" s="196"/>
      <c r="L27" s="196"/>
      <c r="M27" s="196"/>
      <c r="N27" s="196"/>
      <c r="O27" s="196"/>
      <c r="P27" s="196"/>
      <c r="Q27" s="196"/>
      <c r="R27" s="196"/>
      <c r="S27" s="196"/>
      <c r="T27" s="196"/>
      <c r="U27" s="196"/>
      <c r="V27" s="197"/>
      <c r="W27" s="3"/>
      <c r="X27" s="4"/>
      <c r="Y27" s="3"/>
      <c r="Z27" s="3"/>
      <c r="AA27" s="3"/>
      <c r="AB27" s="3"/>
    </row>
    <row r="28" spans="1:28" ht="49.5" customHeight="1" x14ac:dyDescent="0.3">
      <c r="A28" s="4"/>
      <c r="B28" s="3"/>
      <c r="C28" s="291" t="s">
        <v>13</v>
      </c>
      <c r="D28" s="196"/>
      <c r="E28" s="197"/>
      <c r="F28" s="29"/>
      <c r="G28" s="287" t="s">
        <v>104</v>
      </c>
      <c r="H28" s="214"/>
      <c r="I28" s="214"/>
      <c r="J28" s="214"/>
      <c r="K28" s="288"/>
      <c r="L28" s="29"/>
      <c r="M28" s="287" t="s">
        <v>105</v>
      </c>
      <c r="N28" s="214"/>
      <c r="O28" s="214"/>
      <c r="P28" s="214"/>
      <c r="Q28" s="214"/>
      <c r="R28" s="288"/>
      <c r="S28" s="287" t="s">
        <v>106</v>
      </c>
      <c r="T28" s="214"/>
      <c r="U28" s="288"/>
      <c r="V28" s="92" t="s">
        <v>107</v>
      </c>
      <c r="W28" s="3"/>
      <c r="X28" s="4"/>
      <c r="Y28" s="3"/>
      <c r="Z28" s="3"/>
      <c r="AA28" s="3"/>
      <c r="AB28" s="3"/>
    </row>
    <row r="29" spans="1:28" ht="41.25" customHeight="1" x14ac:dyDescent="0.3">
      <c r="A29" s="4"/>
      <c r="B29" s="3"/>
      <c r="C29" s="289" t="s">
        <v>15</v>
      </c>
      <c r="D29" s="196"/>
      <c r="E29" s="197"/>
      <c r="F29" s="39"/>
      <c r="G29" s="251" t="s">
        <v>251</v>
      </c>
      <c r="H29" s="226"/>
      <c r="I29" s="226"/>
      <c r="J29" s="226"/>
      <c r="K29" s="227"/>
      <c r="L29" s="93"/>
      <c r="M29" s="251" t="s">
        <v>252</v>
      </c>
      <c r="N29" s="226"/>
      <c r="O29" s="226"/>
      <c r="P29" s="226"/>
      <c r="Q29" s="226"/>
      <c r="R29" s="227"/>
      <c r="S29" s="283" t="s">
        <v>108</v>
      </c>
      <c r="T29" s="226"/>
      <c r="U29" s="227"/>
      <c r="V29" s="94">
        <f t="shared" ref="V29:V38" si="0">IF(S29="---","",VLOOKUP(S29,$C$69:$D$72,2,FALSE))</f>
        <v>0.67</v>
      </c>
      <c r="W29" s="3"/>
      <c r="X29" s="4"/>
      <c r="Y29" s="3"/>
      <c r="Z29" s="3"/>
      <c r="AA29" s="3"/>
      <c r="AB29" s="3"/>
    </row>
    <row r="30" spans="1:28" ht="49.5" customHeight="1" x14ac:dyDescent="0.3">
      <c r="A30" s="4"/>
      <c r="B30" s="3"/>
      <c r="C30" s="290" t="s">
        <v>16</v>
      </c>
      <c r="D30" s="196"/>
      <c r="E30" s="197"/>
      <c r="F30" s="39"/>
      <c r="G30" s="231" t="s">
        <v>253</v>
      </c>
      <c r="H30" s="226"/>
      <c r="I30" s="226"/>
      <c r="J30" s="226"/>
      <c r="K30" s="227"/>
      <c r="L30" s="93"/>
      <c r="M30" s="278" t="s">
        <v>254</v>
      </c>
      <c r="N30" s="226"/>
      <c r="O30" s="226"/>
      <c r="P30" s="226"/>
      <c r="Q30" s="226"/>
      <c r="R30" s="227"/>
      <c r="S30" s="281" t="s">
        <v>109</v>
      </c>
      <c r="T30" s="226"/>
      <c r="U30" s="227"/>
      <c r="V30" s="94">
        <f t="shared" si="0"/>
        <v>1</v>
      </c>
      <c r="W30" s="3"/>
      <c r="X30" s="4"/>
      <c r="Y30" s="3"/>
      <c r="Z30" s="3"/>
      <c r="AA30" s="3"/>
      <c r="AB30" s="3"/>
    </row>
    <row r="31" spans="1:28" ht="49.5" customHeight="1" x14ac:dyDescent="0.3">
      <c r="A31" s="4"/>
      <c r="B31" s="3"/>
      <c r="C31" s="289" t="s">
        <v>17</v>
      </c>
      <c r="D31" s="196"/>
      <c r="E31" s="197"/>
      <c r="F31" s="39"/>
      <c r="G31" s="251" t="s">
        <v>255</v>
      </c>
      <c r="H31" s="226"/>
      <c r="I31" s="226"/>
      <c r="J31" s="226"/>
      <c r="K31" s="227"/>
      <c r="L31" s="93"/>
      <c r="M31" s="265" t="s">
        <v>256</v>
      </c>
      <c r="N31" s="226"/>
      <c r="O31" s="226"/>
      <c r="P31" s="226"/>
      <c r="Q31" s="226"/>
      <c r="R31" s="227"/>
      <c r="S31" s="283" t="s">
        <v>108</v>
      </c>
      <c r="T31" s="226"/>
      <c r="U31" s="227"/>
      <c r="V31" s="94">
        <f t="shared" si="0"/>
        <v>0.67</v>
      </c>
      <c r="W31" s="3"/>
      <c r="X31" s="4"/>
      <c r="Y31" s="3"/>
      <c r="Z31" s="3"/>
      <c r="AA31" s="3"/>
      <c r="AB31" s="3"/>
    </row>
    <row r="32" spans="1:28" ht="49.5" customHeight="1" x14ac:dyDescent="0.3">
      <c r="A32" s="4"/>
      <c r="B32" s="3"/>
      <c r="C32" s="290" t="s">
        <v>110</v>
      </c>
      <c r="D32" s="196"/>
      <c r="E32" s="197"/>
      <c r="F32" s="39"/>
      <c r="G32" s="231" t="s">
        <v>257</v>
      </c>
      <c r="H32" s="226"/>
      <c r="I32" s="226"/>
      <c r="J32" s="226"/>
      <c r="K32" s="227"/>
      <c r="L32" s="93"/>
      <c r="M32" s="231" t="s">
        <v>258</v>
      </c>
      <c r="N32" s="226"/>
      <c r="O32" s="226"/>
      <c r="P32" s="226"/>
      <c r="Q32" s="226"/>
      <c r="R32" s="227"/>
      <c r="S32" s="281" t="s">
        <v>108</v>
      </c>
      <c r="T32" s="226"/>
      <c r="U32" s="227"/>
      <c r="V32" s="94">
        <f t="shared" si="0"/>
        <v>0.67</v>
      </c>
      <c r="W32" s="3"/>
      <c r="X32" s="4"/>
      <c r="Y32" s="3"/>
      <c r="Z32" s="3"/>
      <c r="AA32" s="3"/>
      <c r="AB32" s="3"/>
    </row>
    <row r="33" spans="1:28" ht="49.5" customHeight="1" x14ac:dyDescent="0.3">
      <c r="A33" s="4"/>
      <c r="B33" s="3"/>
      <c r="C33" s="289" t="s">
        <v>19</v>
      </c>
      <c r="D33" s="196"/>
      <c r="E33" s="197"/>
      <c r="F33" s="39"/>
      <c r="G33" s="251" t="s">
        <v>259</v>
      </c>
      <c r="H33" s="226"/>
      <c r="I33" s="226"/>
      <c r="J33" s="226"/>
      <c r="K33" s="227"/>
      <c r="L33" s="93"/>
      <c r="M33" s="251" t="s">
        <v>260</v>
      </c>
      <c r="N33" s="226"/>
      <c r="O33" s="226"/>
      <c r="P33" s="226"/>
      <c r="Q33" s="226"/>
      <c r="R33" s="227"/>
      <c r="S33" s="283" t="s">
        <v>109</v>
      </c>
      <c r="T33" s="226"/>
      <c r="U33" s="227"/>
      <c r="V33" s="94">
        <f t="shared" si="0"/>
        <v>1</v>
      </c>
      <c r="W33" s="3"/>
      <c r="X33" s="4"/>
      <c r="Y33" s="3"/>
      <c r="Z33" s="3"/>
      <c r="AA33" s="3"/>
      <c r="AB33" s="3"/>
    </row>
    <row r="34" spans="1:28" ht="93" customHeight="1" x14ac:dyDescent="0.3">
      <c r="A34" s="4"/>
      <c r="B34" s="3"/>
      <c r="C34" s="290" t="s">
        <v>112</v>
      </c>
      <c r="D34" s="196"/>
      <c r="E34" s="197"/>
      <c r="F34" s="39"/>
      <c r="G34" s="231" t="s">
        <v>261</v>
      </c>
      <c r="H34" s="226"/>
      <c r="I34" s="226"/>
      <c r="J34" s="226"/>
      <c r="K34" s="227"/>
      <c r="L34" s="93"/>
      <c r="M34" s="231" t="s">
        <v>262</v>
      </c>
      <c r="N34" s="226"/>
      <c r="O34" s="226"/>
      <c r="P34" s="226"/>
      <c r="Q34" s="226"/>
      <c r="R34" s="227"/>
      <c r="S34" s="281" t="s">
        <v>108</v>
      </c>
      <c r="T34" s="226"/>
      <c r="U34" s="227"/>
      <c r="V34" s="94">
        <f t="shared" si="0"/>
        <v>0.67</v>
      </c>
      <c r="W34" s="3"/>
      <c r="X34" s="4"/>
      <c r="Y34" s="3"/>
      <c r="Z34" s="3"/>
      <c r="AA34" s="3"/>
      <c r="AB34" s="3"/>
    </row>
    <row r="35" spans="1:28" ht="49.5" customHeight="1" x14ac:dyDescent="0.3">
      <c r="A35" s="4"/>
      <c r="B35" s="3"/>
      <c r="C35" s="289" t="s">
        <v>113</v>
      </c>
      <c r="D35" s="196"/>
      <c r="E35" s="197"/>
      <c r="F35" s="39"/>
      <c r="G35" s="251" t="s">
        <v>263</v>
      </c>
      <c r="H35" s="226"/>
      <c r="I35" s="226"/>
      <c r="J35" s="226"/>
      <c r="K35" s="227"/>
      <c r="L35" s="93"/>
      <c r="M35" s="251" t="s">
        <v>264</v>
      </c>
      <c r="N35" s="226"/>
      <c r="O35" s="226"/>
      <c r="P35" s="226"/>
      <c r="Q35" s="226"/>
      <c r="R35" s="227"/>
      <c r="S35" s="283" t="s">
        <v>108</v>
      </c>
      <c r="T35" s="226"/>
      <c r="U35" s="227"/>
      <c r="V35" s="94">
        <f t="shared" si="0"/>
        <v>0.67</v>
      </c>
      <c r="W35" s="3"/>
      <c r="X35" s="4"/>
      <c r="Y35" s="3"/>
      <c r="Z35" s="3"/>
      <c r="AA35" s="3"/>
      <c r="AB35" s="3"/>
    </row>
    <row r="36" spans="1:28" ht="49.5" customHeight="1" x14ac:dyDescent="0.3">
      <c r="A36" s="4"/>
      <c r="B36" s="3"/>
      <c r="C36" s="290" t="s">
        <v>114</v>
      </c>
      <c r="D36" s="196"/>
      <c r="E36" s="197"/>
      <c r="F36" s="39"/>
      <c r="G36" s="295" t="s">
        <v>265</v>
      </c>
      <c r="H36" s="226"/>
      <c r="I36" s="226"/>
      <c r="J36" s="226"/>
      <c r="K36" s="227"/>
      <c r="L36" s="93"/>
      <c r="M36" s="295" t="s">
        <v>266</v>
      </c>
      <c r="N36" s="226"/>
      <c r="O36" s="226"/>
      <c r="P36" s="226"/>
      <c r="Q36" s="226"/>
      <c r="R36" s="227"/>
      <c r="S36" s="281" t="s">
        <v>108</v>
      </c>
      <c r="T36" s="226"/>
      <c r="U36" s="227"/>
      <c r="V36" s="94">
        <f t="shared" si="0"/>
        <v>0.67</v>
      </c>
      <c r="W36" s="3"/>
      <c r="X36" s="4"/>
      <c r="Y36" s="3"/>
      <c r="Z36" s="3"/>
      <c r="AA36" s="3"/>
      <c r="AB36" s="3"/>
    </row>
    <row r="37" spans="1:28" ht="49.5" hidden="1" customHeight="1" x14ac:dyDescent="0.3">
      <c r="A37" s="4"/>
      <c r="B37" s="3"/>
      <c r="C37" s="290" t="s">
        <v>115</v>
      </c>
      <c r="D37" s="196"/>
      <c r="E37" s="197"/>
      <c r="F37" s="39"/>
      <c r="G37" s="282" t="e">
        <f t="shared" ref="G37:G38" si="1">#REF!</f>
        <v>#REF!</v>
      </c>
      <c r="H37" s="226"/>
      <c r="I37" s="226"/>
      <c r="J37" s="226"/>
      <c r="K37" s="227"/>
      <c r="L37" s="93"/>
      <c r="M37" s="282" t="e">
        <f t="shared" ref="M37:M38" si="2">#REF!</f>
        <v>#REF!</v>
      </c>
      <c r="N37" s="226"/>
      <c r="O37" s="226"/>
      <c r="P37" s="226"/>
      <c r="Q37" s="226"/>
      <c r="R37" s="227"/>
      <c r="S37" s="281" t="e">
        <f t="shared" ref="S37:S38" si="3">#REF!</f>
        <v>#REF!</v>
      </c>
      <c r="T37" s="226"/>
      <c r="U37" s="227"/>
      <c r="V37" s="94" t="e">
        <f t="shared" si="0"/>
        <v>#REF!</v>
      </c>
      <c r="W37" s="3"/>
      <c r="X37" s="4"/>
      <c r="Y37" s="3"/>
      <c r="Z37" s="3"/>
      <c r="AA37" s="3"/>
      <c r="AB37" s="3"/>
    </row>
    <row r="38" spans="1:28" ht="49.5" hidden="1" customHeight="1" x14ac:dyDescent="0.3">
      <c r="A38" s="4"/>
      <c r="B38" s="3"/>
      <c r="C38" s="289" t="s">
        <v>116</v>
      </c>
      <c r="D38" s="196"/>
      <c r="E38" s="197"/>
      <c r="F38" s="39"/>
      <c r="G38" s="277" t="e">
        <f t="shared" si="1"/>
        <v>#REF!</v>
      </c>
      <c r="H38" s="226"/>
      <c r="I38" s="226"/>
      <c r="J38" s="226"/>
      <c r="K38" s="227"/>
      <c r="L38" s="93"/>
      <c r="M38" s="277" t="e">
        <f t="shared" si="2"/>
        <v>#REF!</v>
      </c>
      <c r="N38" s="226"/>
      <c r="O38" s="226"/>
      <c r="P38" s="226"/>
      <c r="Q38" s="226"/>
      <c r="R38" s="227"/>
      <c r="S38" s="281" t="e">
        <f t="shared" si="3"/>
        <v>#REF!</v>
      </c>
      <c r="T38" s="226"/>
      <c r="U38" s="227"/>
      <c r="V38" s="94" t="e">
        <f t="shared" si="0"/>
        <v>#REF!</v>
      </c>
      <c r="W38" s="3"/>
      <c r="X38" s="4"/>
      <c r="Y38" s="3"/>
      <c r="Z38" s="3"/>
      <c r="AA38" s="3"/>
      <c r="AB38" s="3"/>
    </row>
    <row r="39" spans="1:28" ht="12" customHeight="1" x14ac:dyDescent="0.3">
      <c r="A39" s="4"/>
      <c r="B39" s="3"/>
      <c r="C39" s="3"/>
      <c r="D39" s="3"/>
      <c r="E39" s="3"/>
      <c r="F39" s="3"/>
      <c r="G39" s="3"/>
      <c r="H39" s="3"/>
      <c r="I39" s="3"/>
      <c r="J39" s="3"/>
      <c r="K39" s="3"/>
      <c r="L39" s="3"/>
      <c r="M39" s="3"/>
      <c r="N39" s="3"/>
      <c r="O39" s="3"/>
      <c r="P39" s="3"/>
      <c r="Q39" s="3"/>
      <c r="R39" s="3"/>
      <c r="S39" s="3"/>
      <c r="T39" s="3"/>
      <c r="U39" s="3"/>
      <c r="V39" s="3"/>
      <c r="W39" s="3"/>
      <c r="X39" s="4"/>
      <c r="Y39" s="3"/>
      <c r="Z39" s="3"/>
      <c r="AA39" s="3"/>
      <c r="AB39" s="3"/>
    </row>
    <row r="40" spans="1:28" ht="31.5" customHeight="1" x14ac:dyDescent="0.3">
      <c r="A40" s="4"/>
      <c r="B40" s="3"/>
      <c r="C40" s="95" t="str">
        <f>'3. Dangers'!M16</f>
        <v>Cyclone</v>
      </c>
      <c r="D40" s="96"/>
      <c r="E40" s="297"/>
      <c r="F40" s="199"/>
      <c r="G40" s="199"/>
      <c r="H40" s="199"/>
      <c r="I40" s="199"/>
      <c r="J40" s="199"/>
      <c r="K40" s="200"/>
      <c r="L40" s="97"/>
      <c r="M40" s="98"/>
      <c r="N40" s="97"/>
      <c r="O40" s="97"/>
      <c r="P40" s="97"/>
      <c r="Q40" s="97"/>
      <c r="R40" s="97"/>
      <c r="S40" s="97"/>
      <c r="T40" s="97"/>
      <c r="U40" s="97"/>
      <c r="V40" s="97"/>
      <c r="W40" s="3"/>
      <c r="X40" s="4"/>
      <c r="Y40" s="3"/>
      <c r="Z40" s="3"/>
      <c r="AA40" s="3"/>
      <c r="AB40" s="3"/>
    </row>
    <row r="41" spans="1:28" ht="12" customHeight="1" x14ac:dyDescent="0.3">
      <c r="A41" s="4"/>
      <c r="B41" s="3"/>
      <c r="C41" s="293"/>
      <c r="D41" s="196"/>
      <c r="E41" s="196"/>
      <c r="F41" s="196"/>
      <c r="G41" s="196"/>
      <c r="H41" s="196"/>
      <c r="I41" s="196"/>
      <c r="J41" s="196"/>
      <c r="K41" s="196"/>
      <c r="L41" s="196"/>
      <c r="M41" s="196"/>
      <c r="N41" s="196"/>
      <c r="O41" s="196"/>
      <c r="P41" s="196"/>
      <c r="Q41" s="196"/>
      <c r="R41" s="196"/>
      <c r="S41" s="196"/>
      <c r="T41" s="196"/>
      <c r="U41" s="196"/>
      <c r="V41" s="197"/>
      <c r="W41" s="3"/>
      <c r="X41" s="4"/>
      <c r="Y41" s="3"/>
      <c r="Z41" s="3"/>
      <c r="AA41" s="3"/>
      <c r="AB41" s="3"/>
    </row>
    <row r="42" spans="1:28" ht="49.5" customHeight="1" x14ac:dyDescent="0.3">
      <c r="A42" s="4"/>
      <c r="B42" s="3"/>
      <c r="C42" s="291" t="s">
        <v>13</v>
      </c>
      <c r="D42" s="196"/>
      <c r="E42" s="197"/>
      <c r="F42" s="29"/>
      <c r="G42" s="287" t="s">
        <v>117</v>
      </c>
      <c r="H42" s="214"/>
      <c r="I42" s="214"/>
      <c r="J42" s="214"/>
      <c r="K42" s="288"/>
      <c r="L42" s="29"/>
      <c r="M42" s="287" t="s">
        <v>118</v>
      </c>
      <c r="N42" s="214"/>
      <c r="O42" s="214"/>
      <c r="P42" s="214"/>
      <c r="Q42" s="214"/>
      <c r="R42" s="288"/>
      <c r="S42" s="287" t="s">
        <v>119</v>
      </c>
      <c r="T42" s="214"/>
      <c r="U42" s="288"/>
      <c r="V42" s="92" t="s">
        <v>107</v>
      </c>
      <c r="W42" s="3"/>
      <c r="X42" s="4"/>
      <c r="Y42" s="3"/>
      <c r="Z42" s="3"/>
      <c r="AA42" s="3"/>
      <c r="AB42" s="3"/>
    </row>
    <row r="43" spans="1:28" ht="49.5" customHeight="1" x14ac:dyDescent="0.3">
      <c r="A43" s="4"/>
      <c r="B43" s="3"/>
      <c r="C43" s="289" t="s">
        <v>15</v>
      </c>
      <c r="D43" s="196"/>
      <c r="E43" s="197"/>
      <c r="F43" s="39"/>
      <c r="G43" s="294" t="s">
        <v>267</v>
      </c>
      <c r="H43" s="226"/>
      <c r="I43" s="226"/>
      <c r="J43" s="226"/>
      <c r="K43" s="227"/>
      <c r="L43" s="93"/>
      <c r="M43" s="251" t="s">
        <v>268</v>
      </c>
      <c r="N43" s="226"/>
      <c r="O43" s="226"/>
      <c r="P43" s="226"/>
      <c r="Q43" s="226"/>
      <c r="R43" s="227"/>
      <c r="S43" s="292" t="s">
        <v>109</v>
      </c>
      <c r="T43" s="226"/>
      <c r="U43" s="227"/>
      <c r="V43" s="94">
        <f t="shared" ref="V43:V52" si="4">IF(S43="---","",VLOOKUP(S43,$C$69:$D$72,2,FALSE))</f>
        <v>1</v>
      </c>
      <c r="W43" s="3"/>
      <c r="X43" s="4"/>
      <c r="Y43" s="3"/>
      <c r="Z43" s="3"/>
      <c r="AA43" s="3"/>
      <c r="AB43" s="3"/>
    </row>
    <row r="44" spans="1:28" ht="49.5" customHeight="1" x14ac:dyDescent="0.3">
      <c r="A44" s="4"/>
      <c r="B44" s="3"/>
      <c r="C44" s="290" t="s">
        <v>16</v>
      </c>
      <c r="D44" s="196"/>
      <c r="E44" s="197"/>
      <c r="F44" s="39"/>
      <c r="G44" s="231" t="s">
        <v>269</v>
      </c>
      <c r="H44" s="226"/>
      <c r="I44" s="226"/>
      <c r="J44" s="226"/>
      <c r="K44" s="227"/>
      <c r="L44" s="93"/>
      <c r="M44" s="231" t="s">
        <v>270</v>
      </c>
      <c r="N44" s="226"/>
      <c r="O44" s="226"/>
      <c r="P44" s="226"/>
      <c r="Q44" s="226"/>
      <c r="R44" s="227"/>
      <c r="S44" s="281" t="s">
        <v>109</v>
      </c>
      <c r="T44" s="226"/>
      <c r="U44" s="227"/>
      <c r="V44" s="94">
        <f t="shared" si="4"/>
        <v>1</v>
      </c>
      <c r="W44" s="3"/>
      <c r="X44" s="4"/>
      <c r="Y44" s="3"/>
      <c r="Z44" s="3"/>
      <c r="AA44" s="3"/>
      <c r="AB44" s="3"/>
    </row>
    <row r="45" spans="1:28" ht="49.5" customHeight="1" x14ac:dyDescent="0.3">
      <c r="A45" s="4"/>
      <c r="B45" s="3"/>
      <c r="C45" s="289" t="s">
        <v>17</v>
      </c>
      <c r="D45" s="196"/>
      <c r="E45" s="197"/>
      <c r="F45" s="39"/>
      <c r="G45" s="251" t="s">
        <v>271</v>
      </c>
      <c r="H45" s="226"/>
      <c r="I45" s="226"/>
      <c r="J45" s="226"/>
      <c r="K45" s="227"/>
      <c r="L45" s="93"/>
      <c r="M45" s="251" t="s">
        <v>272</v>
      </c>
      <c r="N45" s="226"/>
      <c r="O45" s="226"/>
      <c r="P45" s="226"/>
      <c r="Q45" s="226"/>
      <c r="R45" s="227"/>
      <c r="S45" s="283" t="s">
        <v>109</v>
      </c>
      <c r="T45" s="226"/>
      <c r="U45" s="227"/>
      <c r="V45" s="94">
        <f t="shared" si="4"/>
        <v>1</v>
      </c>
      <c r="W45" s="3"/>
      <c r="X45" s="4"/>
      <c r="Y45" s="3"/>
      <c r="Z45" s="3"/>
      <c r="AA45" s="3"/>
      <c r="AB45" s="3"/>
    </row>
    <row r="46" spans="1:28" ht="49.5" customHeight="1" x14ac:dyDescent="0.3">
      <c r="A46" s="4" t="s">
        <v>9</v>
      </c>
      <c r="B46" s="3"/>
      <c r="C46" s="290" t="s">
        <v>110</v>
      </c>
      <c r="D46" s="196"/>
      <c r="E46" s="197"/>
      <c r="F46" s="39"/>
      <c r="G46" s="231" t="s">
        <v>273</v>
      </c>
      <c r="H46" s="226"/>
      <c r="I46" s="226"/>
      <c r="J46" s="226"/>
      <c r="K46" s="227"/>
      <c r="L46" s="93"/>
      <c r="M46" s="231" t="s">
        <v>274</v>
      </c>
      <c r="N46" s="226"/>
      <c r="O46" s="226"/>
      <c r="P46" s="226"/>
      <c r="Q46" s="226"/>
      <c r="R46" s="227"/>
      <c r="S46" s="281" t="s">
        <v>109</v>
      </c>
      <c r="T46" s="226"/>
      <c r="U46" s="227"/>
      <c r="V46" s="94">
        <f t="shared" si="4"/>
        <v>1</v>
      </c>
      <c r="W46" s="3"/>
      <c r="X46" s="4"/>
      <c r="Y46" s="3"/>
      <c r="Z46" s="3"/>
      <c r="AA46" s="3"/>
      <c r="AB46" s="3"/>
    </row>
    <row r="47" spans="1:28" ht="49.5" customHeight="1" x14ac:dyDescent="0.3">
      <c r="A47" s="4"/>
      <c r="B47" s="3"/>
      <c r="C47" s="289" t="s">
        <v>19</v>
      </c>
      <c r="D47" s="196"/>
      <c r="E47" s="197"/>
      <c r="F47" s="39"/>
      <c r="G47" s="265" t="s">
        <v>275</v>
      </c>
      <c r="H47" s="226"/>
      <c r="I47" s="226"/>
      <c r="J47" s="226"/>
      <c r="K47" s="227"/>
      <c r="L47" s="93"/>
      <c r="M47" s="262" t="s">
        <v>276</v>
      </c>
      <c r="N47" s="226"/>
      <c r="O47" s="226"/>
      <c r="P47" s="226"/>
      <c r="Q47" s="226"/>
      <c r="R47" s="227"/>
      <c r="S47" s="283" t="s">
        <v>108</v>
      </c>
      <c r="T47" s="226"/>
      <c r="U47" s="227"/>
      <c r="V47" s="94">
        <f t="shared" si="4"/>
        <v>0.67</v>
      </c>
      <c r="W47" s="3"/>
      <c r="X47" s="4"/>
      <c r="Y47" s="3"/>
      <c r="Z47" s="3"/>
      <c r="AA47" s="3"/>
      <c r="AB47" s="3"/>
    </row>
    <row r="48" spans="1:28" ht="56.25" customHeight="1" x14ac:dyDescent="0.3">
      <c r="A48" s="4"/>
      <c r="B48" s="3"/>
      <c r="C48" s="290" t="s">
        <v>112</v>
      </c>
      <c r="D48" s="196"/>
      <c r="E48" s="197"/>
      <c r="F48" s="39"/>
      <c r="G48" s="231" t="s">
        <v>277</v>
      </c>
      <c r="H48" s="226"/>
      <c r="I48" s="226"/>
      <c r="J48" s="226"/>
      <c r="K48" s="227"/>
      <c r="L48" s="93"/>
      <c r="M48" s="231" t="s">
        <v>121</v>
      </c>
      <c r="N48" s="226"/>
      <c r="O48" s="226"/>
      <c r="P48" s="226"/>
      <c r="Q48" s="226"/>
      <c r="R48" s="227"/>
      <c r="S48" s="281" t="s">
        <v>109</v>
      </c>
      <c r="T48" s="226"/>
      <c r="U48" s="227"/>
      <c r="V48" s="94">
        <f t="shared" si="4"/>
        <v>1</v>
      </c>
      <c r="W48" s="3"/>
      <c r="X48" s="4"/>
      <c r="Y48" s="3"/>
      <c r="Z48" s="3"/>
      <c r="AA48" s="3"/>
      <c r="AB48" s="3"/>
    </row>
    <row r="49" spans="1:28" ht="65.25" customHeight="1" x14ac:dyDescent="0.3">
      <c r="A49" s="4"/>
      <c r="B49" s="3"/>
      <c r="C49" s="289" t="s">
        <v>113</v>
      </c>
      <c r="D49" s="196"/>
      <c r="E49" s="197"/>
      <c r="F49" s="39"/>
      <c r="G49" s="251" t="s">
        <v>278</v>
      </c>
      <c r="H49" s="226"/>
      <c r="I49" s="226"/>
      <c r="J49" s="226"/>
      <c r="K49" s="227"/>
      <c r="L49" s="93"/>
      <c r="M49" s="251" t="s">
        <v>282</v>
      </c>
      <c r="N49" s="226"/>
      <c r="O49" s="226"/>
      <c r="P49" s="226"/>
      <c r="Q49" s="226"/>
      <c r="R49" s="227"/>
      <c r="S49" s="283" t="s">
        <v>109</v>
      </c>
      <c r="T49" s="226"/>
      <c r="U49" s="227"/>
      <c r="V49" s="94">
        <f t="shared" si="4"/>
        <v>1</v>
      </c>
      <c r="W49" s="3"/>
      <c r="X49" s="4"/>
      <c r="Y49" s="3"/>
      <c r="Z49" s="3"/>
      <c r="AA49" s="3"/>
      <c r="AB49" s="3"/>
    </row>
    <row r="50" spans="1:28" ht="49.5" customHeight="1" x14ac:dyDescent="0.3">
      <c r="A50" s="4"/>
      <c r="B50" s="3"/>
      <c r="C50" s="290" t="s">
        <v>114</v>
      </c>
      <c r="D50" s="196"/>
      <c r="E50" s="197"/>
      <c r="F50" s="39"/>
      <c r="G50" s="278" t="s">
        <v>279</v>
      </c>
      <c r="H50" s="226"/>
      <c r="I50" s="226"/>
      <c r="J50" s="226"/>
      <c r="K50" s="227"/>
      <c r="L50" s="93"/>
      <c r="M50" s="278" t="s">
        <v>280</v>
      </c>
      <c r="N50" s="226"/>
      <c r="O50" s="226"/>
      <c r="P50" s="226"/>
      <c r="Q50" s="226"/>
      <c r="R50" s="227"/>
      <c r="S50" s="281" t="s">
        <v>109</v>
      </c>
      <c r="T50" s="226"/>
      <c r="U50" s="227"/>
      <c r="V50" s="94">
        <f t="shared" si="4"/>
        <v>1</v>
      </c>
      <c r="W50" s="3"/>
      <c r="X50" s="4"/>
      <c r="Y50" s="3"/>
      <c r="Z50" s="3"/>
      <c r="AA50" s="3"/>
      <c r="AB50" s="3"/>
    </row>
    <row r="51" spans="1:28" ht="49.5" hidden="1" customHeight="1" x14ac:dyDescent="0.3">
      <c r="A51" s="4"/>
      <c r="B51" s="3"/>
      <c r="C51" s="290" t="s">
        <v>115</v>
      </c>
      <c r="D51" s="196"/>
      <c r="E51" s="197"/>
      <c r="F51" s="39"/>
      <c r="G51" s="282" t="e">
        <f t="shared" ref="G51:G52" si="5">G37</f>
        <v>#REF!</v>
      </c>
      <c r="H51" s="226"/>
      <c r="I51" s="226"/>
      <c r="J51" s="226"/>
      <c r="K51" s="227"/>
      <c r="L51" s="93"/>
      <c r="M51" s="282" t="e">
        <f t="shared" ref="M51:M52" si="6">M37</f>
        <v>#REF!</v>
      </c>
      <c r="N51" s="226"/>
      <c r="O51" s="226"/>
      <c r="P51" s="226"/>
      <c r="Q51" s="226"/>
      <c r="R51" s="227"/>
      <c r="S51" s="283" t="s">
        <v>120</v>
      </c>
      <c r="T51" s="226"/>
      <c r="U51" s="227"/>
      <c r="V51" s="94" t="str">
        <f t="shared" si="4"/>
        <v/>
      </c>
      <c r="W51" s="3"/>
      <c r="X51" s="4"/>
      <c r="Y51" s="3"/>
      <c r="Z51" s="3"/>
      <c r="AA51" s="3"/>
      <c r="AB51" s="3"/>
    </row>
    <row r="52" spans="1:28" ht="49.5" hidden="1" customHeight="1" x14ac:dyDescent="0.3">
      <c r="A52" s="4"/>
      <c r="B52" s="3"/>
      <c r="C52" s="289" t="s">
        <v>116</v>
      </c>
      <c r="D52" s="196"/>
      <c r="E52" s="197"/>
      <c r="F52" s="39"/>
      <c r="G52" s="277" t="e">
        <f t="shared" si="5"/>
        <v>#REF!</v>
      </c>
      <c r="H52" s="226"/>
      <c r="I52" s="226"/>
      <c r="J52" s="226"/>
      <c r="K52" s="227"/>
      <c r="L52" s="93"/>
      <c r="M52" s="277" t="e">
        <f t="shared" si="6"/>
        <v>#REF!</v>
      </c>
      <c r="N52" s="226"/>
      <c r="O52" s="226"/>
      <c r="P52" s="226"/>
      <c r="Q52" s="226"/>
      <c r="R52" s="227"/>
      <c r="S52" s="283" t="s">
        <v>120</v>
      </c>
      <c r="T52" s="226"/>
      <c r="U52" s="227"/>
      <c r="V52" s="94" t="str">
        <f t="shared" si="4"/>
        <v/>
      </c>
      <c r="W52" s="3"/>
      <c r="X52" s="4"/>
      <c r="Y52" s="3"/>
      <c r="Z52" s="3"/>
      <c r="AA52" s="3"/>
      <c r="AB52" s="3"/>
    </row>
    <row r="53" spans="1:28" ht="12" customHeight="1" x14ac:dyDescent="0.3">
      <c r="A53" s="4"/>
      <c r="B53" s="3"/>
      <c r="C53" s="3"/>
      <c r="D53" s="3"/>
      <c r="E53" s="3"/>
      <c r="F53" s="3"/>
      <c r="G53" s="3"/>
      <c r="H53" s="3"/>
      <c r="I53" s="3"/>
      <c r="J53" s="3"/>
      <c r="K53" s="3"/>
      <c r="L53" s="3"/>
      <c r="M53" s="3"/>
      <c r="N53" s="3"/>
      <c r="O53" s="3"/>
      <c r="P53" s="3"/>
      <c r="Q53" s="3"/>
      <c r="R53" s="3"/>
      <c r="S53" s="3"/>
      <c r="T53" s="3"/>
      <c r="U53" s="3"/>
      <c r="V53" s="3"/>
      <c r="W53" s="3"/>
      <c r="X53" s="4"/>
      <c r="Y53" s="3"/>
      <c r="Z53" s="3"/>
      <c r="AA53" s="3"/>
      <c r="AB53" s="3"/>
    </row>
    <row r="54" spans="1:28" ht="31.5" customHeight="1" x14ac:dyDescent="0.3">
      <c r="A54" s="4"/>
      <c r="B54" s="3"/>
      <c r="C54" s="99" t="str">
        <f>'3. Dangers'!C32</f>
        <v xml:space="preserve">Epidémies </v>
      </c>
      <c r="D54" s="99"/>
      <c r="E54" s="296"/>
      <c r="F54" s="199"/>
      <c r="G54" s="199"/>
      <c r="H54" s="199"/>
      <c r="I54" s="199"/>
      <c r="J54" s="199"/>
      <c r="K54" s="200"/>
      <c r="L54" s="100"/>
      <c r="M54" s="101"/>
      <c r="N54" s="100"/>
      <c r="O54" s="100"/>
      <c r="P54" s="100"/>
      <c r="Q54" s="100"/>
      <c r="R54" s="100"/>
      <c r="S54" s="100"/>
      <c r="T54" s="100"/>
      <c r="U54" s="100"/>
      <c r="V54" s="100"/>
      <c r="W54" s="3"/>
      <c r="X54" s="4"/>
      <c r="Y54" s="3"/>
      <c r="Z54" s="3"/>
      <c r="AA54" s="3"/>
      <c r="AB54" s="3"/>
    </row>
    <row r="55" spans="1:28" ht="12" customHeight="1" x14ac:dyDescent="0.3">
      <c r="A55" s="4"/>
      <c r="B55" s="3"/>
      <c r="C55" s="293"/>
      <c r="D55" s="196"/>
      <c r="E55" s="196"/>
      <c r="F55" s="196"/>
      <c r="G55" s="196"/>
      <c r="H55" s="196"/>
      <c r="I55" s="196"/>
      <c r="J55" s="196"/>
      <c r="K55" s="196"/>
      <c r="L55" s="196"/>
      <c r="M55" s="196"/>
      <c r="N55" s="196"/>
      <c r="O55" s="196"/>
      <c r="P55" s="196"/>
      <c r="Q55" s="196"/>
      <c r="R55" s="196"/>
      <c r="S55" s="196"/>
      <c r="T55" s="196"/>
      <c r="U55" s="196"/>
      <c r="V55" s="197"/>
      <c r="W55" s="3"/>
      <c r="X55" s="4"/>
      <c r="Y55" s="3"/>
      <c r="Z55" s="3"/>
      <c r="AA55" s="3"/>
      <c r="AB55" s="3"/>
    </row>
    <row r="56" spans="1:28" ht="49.5" customHeight="1" x14ac:dyDescent="0.3">
      <c r="A56" s="4"/>
      <c r="B56" s="3"/>
      <c r="C56" s="291" t="s">
        <v>13</v>
      </c>
      <c r="D56" s="196"/>
      <c r="E56" s="197"/>
      <c r="F56" s="29"/>
      <c r="G56" s="287" t="s">
        <v>122</v>
      </c>
      <c r="H56" s="214"/>
      <c r="I56" s="214"/>
      <c r="J56" s="214"/>
      <c r="K56" s="288"/>
      <c r="L56" s="29"/>
      <c r="M56" s="287" t="s">
        <v>286</v>
      </c>
      <c r="N56" s="214"/>
      <c r="O56" s="214"/>
      <c r="P56" s="214"/>
      <c r="Q56" s="214"/>
      <c r="R56" s="288"/>
      <c r="S56" s="287" t="s">
        <v>123</v>
      </c>
      <c r="T56" s="214"/>
      <c r="U56" s="288"/>
      <c r="V56" s="92" t="s">
        <v>107</v>
      </c>
      <c r="W56" s="3"/>
      <c r="X56" s="4"/>
      <c r="Y56" s="3"/>
      <c r="Z56" s="3"/>
      <c r="AA56" s="3"/>
      <c r="AB56" s="3"/>
    </row>
    <row r="57" spans="1:28" ht="49.5" customHeight="1" x14ac:dyDescent="0.3">
      <c r="A57" s="4"/>
      <c r="B57" s="3"/>
      <c r="C57" s="289" t="s">
        <v>15</v>
      </c>
      <c r="D57" s="196"/>
      <c r="E57" s="197"/>
      <c r="F57" s="39"/>
      <c r="G57" s="262" t="s">
        <v>281</v>
      </c>
      <c r="H57" s="226"/>
      <c r="I57" s="226"/>
      <c r="J57" s="226"/>
      <c r="K57" s="227"/>
      <c r="L57" s="93"/>
      <c r="M57" s="262" t="s">
        <v>283</v>
      </c>
      <c r="N57" s="226"/>
      <c r="O57" s="226"/>
      <c r="P57" s="226"/>
      <c r="Q57" s="226"/>
      <c r="R57" s="227"/>
      <c r="S57" s="280" t="s">
        <v>109</v>
      </c>
      <c r="T57" s="226"/>
      <c r="U57" s="227"/>
      <c r="V57" s="94">
        <f t="shared" ref="V57:V66" si="7">IF(S57="---","",VLOOKUP(S57,$C$69:$D$72,2,FALSE))</f>
        <v>1</v>
      </c>
      <c r="W57" s="3"/>
      <c r="X57" s="4"/>
      <c r="Y57" s="3"/>
      <c r="Z57" s="3"/>
      <c r="AA57" s="3"/>
      <c r="AB57" s="3"/>
    </row>
    <row r="58" spans="1:28" ht="49.5" customHeight="1" x14ac:dyDescent="0.3">
      <c r="A58" s="4"/>
      <c r="B58" s="3"/>
      <c r="C58" s="290" t="s">
        <v>16</v>
      </c>
      <c r="D58" s="196"/>
      <c r="E58" s="197"/>
      <c r="F58" s="39"/>
      <c r="G58" s="278" t="s">
        <v>284</v>
      </c>
      <c r="H58" s="226"/>
      <c r="I58" s="226"/>
      <c r="J58" s="226"/>
      <c r="K58" s="227"/>
      <c r="L58" s="93"/>
      <c r="M58" s="278" t="s">
        <v>285</v>
      </c>
      <c r="N58" s="226"/>
      <c r="O58" s="226"/>
      <c r="P58" s="226"/>
      <c r="Q58" s="226"/>
      <c r="R58" s="227"/>
      <c r="S58" s="279" t="s">
        <v>109</v>
      </c>
      <c r="T58" s="226"/>
      <c r="U58" s="227"/>
      <c r="V58" s="94">
        <f t="shared" si="7"/>
        <v>1</v>
      </c>
      <c r="W58" s="3"/>
      <c r="X58" s="4"/>
      <c r="Y58" s="3"/>
      <c r="Z58" s="3"/>
      <c r="AA58" s="3"/>
      <c r="AB58" s="3"/>
    </row>
    <row r="59" spans="1:28" ht="49.5" customHeight="1" x14ac:dyDescent="0.3">
      <c r="A59" s="4"/>
      <c r="B59" s="3"/>
      <c r="C59" s="289" t="s">
        <v>17</v>
      </c>
      <c r="D59" s="196"/>
      <c r="E59" s="197"/>
      <c r="F59" s="39"/>
      <c r="G59" s="251" t="s">
        <v>290</v>
      </c>
      <c r="H59" s="226"/>
      <c r="I59" s="226"/>
      <c r="J59" s="226"/>
      <c r="K59" s="227"/>
      <c r="L59" s="93"/>
      <c r="M59" s="251" t="s">
        <v>287</v>
      </c>
      <c r="N59" s="226"/>
      <c r="O59" s="226"/>
      <c r="P59" s="226"/>
      <c r="Q59" s="226"/>
      <c r="R59" s="227"/>
      <c r="S59" s="280" t="s">
        <v>109</v>
      </c>
      <c r="T59" s="226"/>
      <c r="U59" s="227"/>
      <c r="V59" s="94">
        <f t="shared" si="7"/>
        <v>1</v>
      </c>
      <c r="W59" s="3"/>
      <c r="X59" s="4"/>
      <c r="Y59" s="3"/>
      <c r="Z59" s="3"/>
      <c r="AA59" s="3"/>
      <c r="AB59" s="3"/>
    </row>
    <row r="60" spans="1:28" ht="49.5" customHeight="1" x14ac:dyDescent="0.3">
      <c r="A60" s="4"/>
      <c r="B60" s="3"/>
      <c r="C60" s="290" t="s">
        <v>110</v>
      </c>
      <c r="D60" s="196"/>
      <c r="E60" s="197"/>
      <c r="F60" s="39"/>
      <c r="G60" s="278" t="s">
        <v>289</v>
      </c>
      <c r="H60" s="226"/>
      <c r="I60" s="226"/>
      <c r="J60" s="226"/>
      <c r="K60" s="227"/>
      <c r="L60" s="93"/>
      <c r="M60" s="278" t="s">
        <v>288</v>
      </c>
      <c r="N60" s="226"/>
      <c r="O60" s="226"/>
      <c r="P60" s="226"/>
      <c r="Q60" s="226"/>
      <c r="R60" s="227"/>
      <c r="S60" s="279" t="s">
        <v>108</v>
      </c>
      <c r="T60" s="226"/>
      <c r="U60" s="227"/>
      <c r="V60" s="94">
        <f t="shared" si="7"/>
        <v>0.67</v>
      </c>
      <c r="W60" s="3"/>
      <c r="X60" s="4"/>
      <c r="Y60" s="3"/>
      <c r="Z60" s="3"/>
      <c r="AA60" s="3"/>
      <c r="AB60" s="3"/>
    </row>
    <row r="61" spans="1:28" ht="49.5" customHeight="1" x14ac:dyDescent="0.3">
      <c r="A61" s="4"/>
      <c r="B61" s="3"/>
      <c r="C61" s="289" t="s">
        <v>19</v>
      </c>
      <c r="D61" s="196"/>
      <c r="E61" s="197"/>
      <c r="F61" s="39"/>
      <c r="G61" s="251" t="s">
        <v>291</v>
      </c>
      <c r="H61" s="226"/>
      <c r="I61" s="226"/>
      <c r="J61" s="226"/>
      <c r="K61" s="227"/>
      <c r="L61" s="93"/>
      <c r="M61" s="251" t="s">
        <v>292</v>
      </c>
      <c r="N61" s="226"/>
      <c r="O61" s="226"/>
      <c r="P61" s="226"/>
      <c r="Q61" s="226"/>
      <c r="R61" s="227"/>
      <c r="S61" s="280" t="s">
        <v>109</v>
      </c>
      <c r="T61" s="226"/>
      <c r="U61" s="227"/>
      <c r="V61" s="94">
        <f t="shared" si="7"/>
        <v>1</v>
      </c>
      <c r="W61" s="3"/>
      <c r="X61" s="4"/>
      <c r="Y61" s="3"/>
      <c r="Z61" s="3"/>
      <c r="AA61" s="3"/>
      <c r="AB61" s="3"/>
    </row>
    <row r="62" spans="1:28" ht="93" customHeight="1" x14ac:dyDescent="0.3">
      <c r="A62" s="4"/>
      <c r="B62" s="3"/>
      <c r="C62" s="290" t="s">
        <v>112</v>
      </c>
      <c r="D62" s="196"/>
      <c r="E62" s="197"/>
      <c r="F62" s="39"/>
      <c r="G62" s="284" t="s">
        <v>293</v>
      </c>
      <c r="H62" s="285"/>
      <c r="I62" s="285"/>
      <c r="J62" s="285"/>
      <c r="K62" s="286"/>
      <c r="L62" s="172"/>
      <c r="M62" s="284" t="s">
        <v>294</v>
      </c>
      <c r="N62" s="285"/>
      <c r="O62" s="285"/>
      <c r="P62" s="285"/>
      <c r="Q62" s="285"/>
      <c r="R62" s="286"/>
      <c r="S62" s="279" t="s">
        <v>108</v>
      </c>
      <c r="T62" s="226"/>
      <c r="U62" s="227"/>
      <c r="V62" s="94">
        <f t="shared" si="7"/>
        <v>0.67</v>
      </c>
      <c r="W62" s="3"/>
      <c r="X62" s="4"/>
      <c r="Y62" s="3"/>
      <c r="Z62" s="3"/>
      <c r="AA62" s="3"/>
      <c r="AB62" s="3"/>
    </row>
    <row r="63" spans="1:28" ht="49.5" customHeight="1" x14ac:dyDescent="0.3">
      <c r="A63" s="4"/>
      <c r="B63" s="3"/>
      <c r="C63" s="289" t="s">
        <v>113</v>
      </c>
      <c r="D63" s="196"/>
      <c r="E63" s="197"/>
      <c r="F63" s="39"/>
      <c r="G63" s="251" t="s">
        <v>295</v>
      </c>
      <c r="H63" s="226"/>
      <c r="I63" s="226"/>
      <c r="J63" s="226"/>
      <c r="K63" s="227"/>
      <c r="L63" s="93"/>
      <c r="M63" s="251" t="s">
        <v>296</v>
      </c>
      <c r="N63" s="226"/>
      <c r="O63" s="226"/>
      <c r="P63" s="226"/>
      <c r="Q63" s="226"/>
      <c r="R63" s="227"/>
      <c r="S63" s="283" t="s">
        <v>108</v>
      </c>
      <c r="T63" s="226"/>
      <c r="U63" s="227"/>
      <c r="V63" s="94">
        <f t="shared" si="7"/>
        <v>0.67</v>
      </c>
      <c r="W63" s="3"/>
      <c r="X63" s="4"/>
      <c r="Y63" s="3"/>
      <c r="Z63" s="3"/>
      <c r="AA63" s="3"/>
      <c r="AB63" s="3"/>
    </row>
    <row r="64" spans="1:28" ht="49.5" customHeight="1" x14ac:dyDescent="0.3">
      <c r="A64" s="4"/>
      <c r="B64" s="3"/>
      <c r="C64" s="290" t="s">
        <v>114</v>
      </c>
      <c r="D64" s="196"/>
      <c r="E64" s="197"/>
      <c r="F64" s="39"/>
      <c r="G64" s="278" t="s">
        <v>297</v>
      </c>
      <c r="H64" s="226"/>
      <c r="I64" s="226"/>
      <c r="J64" s="226"/>
      <c r="K64" s="227"/>
      <c r="L64" s="93"/>
      <c r="M64" s="278" t="s">
        <v>298</v>
      </c>
      <c r="N64" s="226"/>
      <c r="O64" s="226"/>
      <c r="P64" s="226"/>
      <c r="Q64" s="226"/>
      <c r="R64" s="227"/>
      <c r="S64" s="281" t="s">
        <v>111</v>
      </c>
      <c r="T64" s="226"/>
      <c r="U64" s="227"/>
      <c r="V64" s="94">
        <f t="shared" si="7"/>
        <v>0.33</v>
      </c>
      <c r="W64" s="3"/>
      <c r="X64" s="4"/>
      <c r="Y64" s="3"/>
      <c r="Z64" s="3"/>
      <c r="AA64" s="3"/>
      <c r="AB64" s="3"/>
    </row>
    <row r="65" spans="1:28" ht="49.5" hidden="1" customHeight="1" x14ac:dyDescent="0.3">
      <c r="A65" s="4"/>
      <c r="B65" s="3"/>
      <c r="C65" s="290" t="s">
        <v>115</v>
      </c>
      <c r="D65" s="196"/>
      <c r="E65" s="197"/>
      <c r="F65" s="39"/>
      <c r="G65" s="282" t="e">
        <f t="shared" ref="G65:G66" si="8">G51</f>
        <v>#REF!</v>
      </c>
      <c r="H65" s="226"/>
      <c r="I65" s="226"/>
      <c r="J65" s="226"/>
      <c r="K65" s="227"/>
      <c r="L65" s="93"/>
      <c r="M65" s="282" t="e">
        <f t="shared" ref="M65:M66" si="9">M51</f>
        <v>#REF!</v>
      </c>
      <c r="N65" s="226"/>
      <c r="O65" s="226"/>
      <c r="P65" s="226"/>
      <c r="Q65" s="226"/>
      <c r="R65" s="227"/>
      <c r="S65" s="281" t="s">
        <v>120</v>
      </c>
      <c r="T65" s="226"/>
      <c r="U65" s="227"/>
      <c r="V65" s="94" t="str">
        <f t="shared" si="7"/>
        <v/>
      </c>
      <c r="W65" s="3"/>
      <c r="X65" s="4"/>
      <c r="Y65" s="3"/>
      <c r="Z65" s="3"/>
      <c r="AA65" s="3"/>
      <c r="AB65" s="3"/>
    </row>
    <row r="66" spans="1:28" ht="49.5" hidden="1" customHeight="1" x14ac:dyDescent="0.3">
      <c r="A66" s="4"/>
      <c r="B66" s="3"/>
      <c r="C66" s="289" t="s">
        <v>116</v>
      </c>
      <c r="D66" s="196"/>
      <c r="E66" s="197"/>
      <c r="F66" s="39"/>
      <c r="G66" s="277" t="e">
        <f t="shared" si="8"/>
        <v>#REF!</v>
      </c>
      <c r="H66" s="226"/>
      <c r="I66" s="226"/>
      <c r="J66" s="226"/>
      <c r="K66" s="227"/>
      <c r="L66" s="93"/>
      <c r="M66" s="277" t="e">
        <f t="shared" si="9"/>
        <v>#REF!</v>
      </c>
      <c r="N66" s="226"/>
      <c r="O66" s="226"/>
      <c r="P66" s="226"/>
      <c r="Q66" s="226"/>
      <c r="R66" s="227"/>
      <c r="S66" s="283" t="s">
        <v>120</v>
      </c>
      <c r="T66" s="226"/>
      <c r="U66" s="227"/>
      <c r="V66" s="94" t="str">
        <f t="shared" si="7"/>
        <v/>
      </c>
      <c r="W66" s="3"/>
      <c r="X66" s="4"/>
      <c r="Y66" s="3"/>
      <c r="Z66" s="3"/>
      <c r="AA66" s="3"/>
      <c r="AB66" s="3"/>
    </row>
    <row r="67" spans="1:28" ht="12" customHeight="1" x14ac:dyDescent="0.3">
      <c r="A67" s="4"/>
      <c r="B67" s="3"/>
      <c r="C67" s="3"/>
      <c r="D67" s="3"/>
      <c r="E67" s="3"/>
      <c r="F67" s="3"/>
      <c r="G67" s="3"/>
      <c r="H67" s="3"/>
      <c r="I67" s="3"/>
      <c r="J67" s="3"/>
      <c r="K67" s="3"/>
      <c r="L67" s="3"/>
      <c r="M67" s="3"/>
      <c r="N67" s="3"/>
      <c r="O67" s="3"/>
      <c r="P67" s="3"/>
      <c r="Q67" s="3"/>
      <c r="R67" s="3"/>
      <c r="S67" s="3"/>
      <c r="T67" s="3"/>
      <c r="U67" s="3"/>
      <c r="V67" s="3"/>
      <c r="W67" s="3"/>
      <c r="X67" s="4"/>
      <c r="Y67" s="3"/>
      <c r="Z67" s="3"/>
      <c r="AA67" s="3"/>
      <c r="AB67" s="3"/>
    </row>
    <row r="68" spans="1:28"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 customHeight="1" x14ac:dyDescent="0.3">
      <c r="A69" s="3"/>
      <c r="B69" s="3"/>
      <c r="C69" s="3" t="s">
        <v>109</v>
      </c>
      <c r="D69" s="102">
        <v>1</v>
      </c>
      <c r="E69" s="3"/>
      <c r="F69" s="3"/>
      <c r="G69" s="3"/>
      <c r="H69" s="3"/>
      <c r="I69" s="3"/>
      <c r="J69" s="3"/>
      <c r="K69" s="3"/>
      <c r="L69" s="3"/>
      <c r="M69" s="3"/>
      <c r="N69" s="3"/>
      <c r="O69" s="3"/>
      <c r="P69" s="3"/>
      <c r="Q69" s="3"/>
      <c r="R69" s="3"/>
      <c r="S69" s="3"/>
      <c r="T69" s="3"/>
      <c r="U69" s="3"/>
      <c r="V69" s="3"/>
      <c r="W69" s="3"/>
      <c r="X69" s="3"/>
      <c r="Y69" s="3"/>
      <c r="Z69" s="3"/>
      <c r="AA69" s="3"/>
      <c r="AB69" s="3"/>
    </row>
    <row r="70" spans="1:28" ht="12" customHeight="1" x14ac:dyDescent="0.3">
      <c r="A70" s="3"/>
      <c r="B70" s="3"/>
      <c r="C70" s="3" t="s">
        <v>108</v>
      </c>
      <c r="D70" s="102">
        <v>0.67</v>
      </c>
      <c r="E70" s="3"/>
      <c r="F70" s="3"/>
      <c r="G70" s="3"/>
      <c r="H70" s="3"/>
      <c r="I70" s="3"/>
      <c r="J70" s="3"/>
      <c r="K70" s="3"/>
      <c r="L70" s="3"/>
      <c r="M70" s="3"/>
      <c r="N70" s="3"/>
      <c r="O70" s="3"/>
      <c r="P70" s="3"/>
      <c r="Q70" s="3"/>
      <c r="R70" s="3"/>
      <c r="S70" s="3"/>
      <c r="T70" s="3"/>
      <c r="U70" s="3"/>
      <c r="V70" s="3"/>
      <c r="W70" s="3"/>
      <c r="X70" s="3"/>
      <c r="Y70" s="3"/>
      <c r="Z70" s="3"/>
      <c r="AA70" s="3"/>
      <c r="AB70" s="3"/>
    </row>
    <row r="71" spans="1:28" ht="12" customHeight="1" x14ac:dyDescent="0.3">
      <c r="A71" s="3"/>
      <c r="B71" s="3"/>
      <c r="C71" s="3" t="s">
        <v>111</v>
      </c>
      <c r="D71" s="102">
        <v>0.33</v>
      </c>
      <c r="E71" s="3"/>
      <c r="F71" s="3"/>
      <c r="G71" s="3"/>
      <c r="H71" s="3"/>
      <c r="I71" s="3"/>
      <c r="J71" s="3"/>
      <c r="K71" s="3"/>
      <c r="L71" s="3"/>
      <c r="M71" s="3"/>
      <c r="N71" s="3"/>
      <c r="O71" s="3"/>
      <c r="P71" s="3"/>
      <c r="Q71" s="3"/>
      <c r="R71" s="3"/>
      <c r="S71" s="3"/>
      <c r="T71" s="3"/>
      <c r="U71" s="3"/>
      <c r="V71" s="3"/>
      <c r="W71" s="3"/>
      <c r="X71" s="3"/>
      <c r="Y71" s="3"/>
      <c r="Z71" s="3"/>
      <c r="AA71" s="3"/>
      <c r="AB71" s="3"/>
    </row>
    <row r="72" spans="1:28" ht="12" customHeight="1" x14ac:dyDescent="0.3">
      <c r="A72" s="3"/>
      <c r="B72" s="3"/>
      <c r="C72" s="3" t="s">
        <v>124</v>
      </c>
      <c r="D72" s="102">
        <v>0</v>
      </c>
      <c r="E72" s="3"/>
      <c r="F72" s="3"/>
      <c r="G72" s="3"/>
      <c r="H72" s="3"/>
      <c r="I72" s="3"/>
      <c r="J72" s="3"/>
      <c r="K72" s="3"/>
      <c r="L72" s="3"/>
      <c r="M72" s="3"/>
      <c r="N72" s="3"/>
      <c r="O72" s="3"/>
      <c r="P72" s="3"/>
      <c r="Q72" s="3"/>
      <c r="R72" s="3"/>
      <c r="S72" s="3"/>
      <c r="T72" s="3"/>
      <c r="U72" s="3"/>
      <c r="V72" s="3"/>
      <c r="W72" s="3"/>
      <c r="X72" s="3"/>
      <c r="Y72" s="3"/>
      <c r="Z72" s="3"/>
      <c r="AA72" s="3"/>
      <c r="AB72" s="3"/>
    </row>
    <row r="73" spans="1:28" ht="12" customHeight="1" x14ac:dyDescent="0.3">
      <c r="A73" s="3"/>
      <c r="B73" s="3"/>
      <c r="C73" s="103" t="s">
        <v>120</v>
      </c>
      <c r="D73" s="3"/>
      <c r="E73" s="3"/>
      <c r="F73" s="3"/>
      <c r="G73" s="3"/>
      <c r="H73" s="3"/>
      <c r="I73" s="3"/>
      <c r="J73" s="3"/>
      <c r="K73" s="3"/>
      <c r="L73" s="3"/>
      <c r="M73" s="3"/>
      <c r="N73" s="3"/>
      <c r="O73" s="3"/>
      <c r="P73" s="3"/>
      <c r="Q73" s="3"/>
      <c r="R73" s="3"/>
      <c r="S73" s="3"/>
      <c r="T73" s="3"/>
      <c r="U73" s="3"/>
      <c r="V73" s="3"/>
      <c r="W73" s="3"/>
      <c r="X73" s="3"/>
      <c r="Y73" s="3"/>
      <c r="Z73" s="3"/>
      <c r="AA73" s="3"/>
      <c r="AB73" s="3"/>
    </row>
    <row r="74" spans="1:28"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158">
    <mergeCell ref="A1:X1"/>
    <mergeCell ref="A4:C6"/>
    <mergeCell ref="E5:I5"/>
    <mergeCell ref="K5:O5"/>
    <mergeCell ref="R5:V5"/>
    <mergeCell ref="A8:X8"/>
    <mergeCell ref="C10:V10"/>
    <mergeCell ref="C12:V12"/>
    <mergeCell ref="C14:K14"/>
    <mergeCell ref="M14:V14"/>
    <mergeCell ref="E16:K16"/>
    <mergeCell ref="O16:V16"/>
    <mergeCell ref="E18:K18"/>
    <mergeCell ref="O18:V18"/>
    <mergeCell ref="E20:K20"/>
    <mergeCell ref="O20:V20"/>
    <mergeCell ref="E22:K22"/>
    <mergeCell ref="O22:V22"/>
    <mergeCell ref="E24:K24"/>
    <mergeCell ref="C25:V25"/>
    <mergeCell ref="C26:V26"/>
    <mergeCell ref="M29:R29"/>
    <mergeCell ref="S29:U29"/>
    <mergeCell ref="C27:V27"/>
    <mergeCell ref="C28:E28"/>
    <mergeCell ref="G28:K28"/>
    <mergeCell ref="M28:R28"/>
    <mergeCell ref="S28:U28"/>
    <mergeCell ref="C29:E29"/>
    <mergeCell ref="G29:K29"/>
    <mergeCell ref="C30:E30"/>
    <mergeCell ref="G47:K47"/>
    <mergeCell ref="M47:R47"/>
    <mergeCell ref="S47:U47"/>
    <mergeCell ref="G48:K48"/>
    <mergeCell ref="M48:R48"/>
    <mergeCell ref="S48:U48"/>
    <mergeCell ref="E54:K54"/>
    <mergeCell ref="C55:V55"/>
    <mergeCell ref="S37:U37"/>
    <mergeCell ref="G30:K30"/>
    <mergeCell ref="C31:E31"/>
    <mergeCell ref="G31:K31"/>
    <mergeCell ref="C32:E32"/>
    <mergeCell ref="G32:K32"/>
    <mergeCell ref="G33:K33"/>
    <mergeCell ref="C33:E33"/>
    <mergeCell ref="C34:E34"/>
    <mergeCell ref="C35:E35"/>
    <mergeCell ref="C36:E36"/>
    <mergeCell ref="C37:E37"/>
    <mergeCell ref="G38:K38"/>
    <mergeCell ref="E40:K40"/>
    <mergeCell ref="M46:R46"/>
    <mergeCell ref="M36:R36"/>
    <mergeCell ref="M37:R37"/>
    <mergeCell ref="G34:K34"/>
    <mergeCell ref="G35:K35"/>
    <mergeCell ref="M35:R35"/>
    <mergeCell ref="S35:U35"/>
    <mergeCell ref="G36:K36"/>
    <mergeCell ref="S36:U36"/>
    <mergeCell ref="G37:K37"/>
    <mergeCell ref="M33:R33"/>
    <mergeCell ref="M34:R34"/>
    <mergeCell ref="S34:U34"/>
    <mergeCell ref="M30:R30"/>
    <mergeCell ref="S30:U30"/>
    <mergeCell ref="M31:R31"/>
    <mergeCell ref="S31:U31"/>
    <mergeCell ref="M32:R32"/>
    <mergeCell ref="S32:U32"/>
    <mergeCell ref="S33:U33"/>
    <mergeCell ref="S46:U46"/>
    <mergeCell ref="G44:K44"/>
    <mergeCell ref="M44:R44"/>
    <mergeCell ref="S44:U44"/>
    <mergeCell ref="G45:K45"/>
    <mergeCell ref="M45:R45"/>
    <mergeCell ref="S45:U45"/>
    <mergeCell ref="G46:K46"/>
    <mergeCell ref="C38:E38"/>
    <mergeCell ref="C42:E42"/>
    <mergeCell ref="C43:E43"/>
    <mergeCell ref="C44:E44"/>
    <mergeCell ref="C45:E45"/>
    <mergeCell ref="C46:E46"/>
    <mergeCell ref="M43:R43"/>
    <mergeCell ref="S43:U43"/>
    <mergeCell ref="M38:R38"/>
    <mergeCell ref="S38:U38"/>
    <mergeCell ref="C41:V41"/>
    <mergeCell ref="G42:K42"/>
    <mergeCell ref="M42:R42"/>
    <mergeCell ref="S42:U42"/>
    <mergeCell ref="G43:K43"/>
    <mergeCell ref="C47:E47"/>
    <mergeCell ref="C60:E60"/>
    <mergeCell ref="C61:E61"/>
    <mergeCell ref="C62:E62"/>
    <mergeCell ref="C63:E63"/>
    <mergeCell ref="C64:E64"/>
    <mergeCell ref="C65:E65"/>
    <mergeCell ref="C66:E66"/>
    <mergeCell ref="C50:E50"/>
    <mergeCell ref="C51:E51"/>
    <mergeCell ref="C52:E52"/>
    <mergeCell ref="C56:E56"/>
    <mergeCell ref="C57:E57"/>
    <mergeCell ref="C58:E58"/>
    <mergeCell ref="C59:E59"/>
    <mergeCell ref="C48:E48"/>
    <mergeCell ref="C49:E49"/>
    <mergeCell ref="G49:K49"/>
    <mergeCell ref="M49:R49"/>
    <mergeCell ref="S49:U49"/>
    <mergeCell ref="M50:R50"/>
    <mergeCell ref="S50:U50"/>
    <mergeCell ref="G50:K50"/>
    <mergeCell ref="G51:K51"/>
    <mergeCell ref="M51:R51"/>
    <mergeCell ref="S51:U51"/>
    <mergeCell ref="G52:K52"/>
    <mergeCell ref="M52:R52"/>
    <mergeCell ref="S52:U52"/>
    <mergeCell ref="G60:K60"/>
    <mergeCell ref="G61:K61"/>
    <mergeCell ref="G62:K62"/>
    <mergeCell ref="G63:K63"/>
    <mergeCell ref="G64:K64"/>
    <mergeCell ref="G65:K65"/>
    <mergeCell ref="G56:K56"/>
    <mergeCell ref="M56:R56"/>
    <mergeCell ref="S56:U56"/>
    <mergeCell ref="M57:R57"/>
    <mergeCell ref="S57:U57"/>
    <mergeCell ref="G66:K66"/>
    <mergeCell ref="G57:K57"/>
    <mergeCell ref="G58:K58"/>
    <mergeCell ref="M58:R58"/>
    <mergeCell ref="S58:U58"/>
    <mergeCell ref="G59:K59"/>
    <mergeCell ref="S59:U59"/>
    <mergeCell ref="S60:U60"/>
    <mergeCell ref="M63:R63"/>
    <mergeCell ref="M64:R64"/>
    <mergeCell ref="S64:U64"/>
    <mergeCell ref="M65:R65"/>
    <mergeCell ref="S65:U65"/>
    <mergeCell ref="M66:R66"/>
    <mergeCell ref="S66:U66"/>
    <mergeCell ref="M59:R59"/>
    <mergeCell ref="M60:R60"/>
    <mergeCell ref="M61:R61"/>
    <mergeCell ref="S61:U61"/>
    <mergeCell ref="M62:R62"/>
    <mergeCell ref="S62:U62"/>
    <mergeCell ref="S63:U63"/>
  </mergeCells>
  <conditionalFormatting sqref="V29:V38 V43:V52 V57:V66">
    <cfRule type="cellIs" dxfId="22" priority="1" operator="equal">
      <formula>0</formula>
    </cfRule>
    <cfRule type="cellIs" dxfId="21" priority="2" operator="equal">
      <formula>0.33</formula>
    </cfRule>
    <cfRule type="cellIs" dxfId="20" priority="3" operator="equal">
      <formula>0.67</formula>
    </cfRule>
    <cfRule type="cellIs" dxfId="19" priority="4" operator="equal">
      <formula>1</formula>
    </cfRule>
  </conditionalFormatting>
  <dataValidations count="1">
    <dataValidation type="list" allowBlank="1" showErrorMessage="1" sqref="S29:S38 S43:S52 S57:S66" xr:uid="{00000000-0002-0000-0400-000000000000}">
      <formula1>$C$69:$C$73</formula1>
    </dataValidation>
  </dataValidations>
  <pageMargins left="0.25" right="0.25" top="0.75" bottom="0.75" header="0" footer="0"/>
  <pageSetup paperSize="9" orientation="portrait"/>
  <headerFooter>
    <oddFooter>&amp;L000000_x000D_#000000Public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topLeftCell="A14" zoomScale="91" zoomScaleNormal="91" workbookViewId="0">
      <selection activeCell="G19" sqref="G19:K19"/>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296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201" t="s">
        <v>125</v>
      </c>
      <c r="B1" s="199"/>
      <c r="C1" s="199"/>
      <c r="D1" s="199"/>
      <c r="E1" s="199"/>
      <c r="F1" s="199"/>
      <c r="G1" s="199"/>
      <c r="H1" s="199"/>
      <c r="I1" s="199"/>
      <c r="J1" s="199"/>
      <c r="K1" s="199"/>
      <c r="L1" s="199"/>
      <c r="M1" s="199"/>
      <c r="N1" s="199"/>
      <c r="O1" s="199"/>
      <c r="P1" s="199"/>
      <c r="Q1" s="199"/>
      <c r="R1" s="200"/>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3" t="s">
        <v>2</v>
      </c>
      <c r="B4" s="204"/>
      <c r="C4" s="205"/>
      <c r="D4" s="6"/>
      <c r="E4" s="7"/>
      <c r="F4" s="7"/>
      <c r="G4" s="7"/>
      <c r="H4" s="7"/>
      <c r="I4" s="7"/>
      <c r="J4" s="7"/>
      <c r="K4" s="7"/>
      <c r="L4" s="7"/>
      <c r="M4" s="7"/>
      <c r="N4" s="7"/>
      <c r="O4" s="7"/>
      <c r="P4" s="7"/>
      <c r="Q4" s="7"/>
      <c r="R4" s="7"/>
      <c r="S4" s="3"/>
      <c r="T4" s="3"/>
      <c r="U4" s="3"/>
      <c r="V4" s="3"/>
      <c r="W4" s="3"/>
      <c r="X4" s="3"/>
      <c r="Y4" s="3"/>
      <c r="Z4" s="3"/>
    </row>
    <row r="5" spans="1:26" ht="31.5" customHeight="1" x14ac:dyDescent="0.3">
      <c r="A5" s="206"/>
      <c r="B5" s="207"/>
      <c r="C5" s="208"/>
      <c r="D5" s="6"/>
      <c r="E5" s="300" t="str">
        <f>'1. Résumé'!E6</f>
        <v>FKT 04/18_Tanambao</v>
      </c>
      <c r="F5" s="199"/>
      <c r="G5" s="199"/>
      <c r="H5" s="199"/>
      <c r="I5" s="200"/>
      <c r="J5" s="7"/>
      <c r="K5" s="260" t="str">
        <f>'1. Résumé'!G8</f>
        <v>Pays : Madagascar</v>
      </c>
      <c r="L5" s="200"/>
      <c r="M5" s="260"/>
      <c r="N5" s="199"/>
      <c r="O5" s="199"/>
      <c r="P5" s="200"/>
      <c r="Q5" s="7"/>
      <c r="R5" s="7"/>
      <c r="S5" s="3"/>
      <c r="T5" s="3"/>
      <c r="U5" s="3"/>
      <c r="V5" s="3"/>
      <c r="W5" s="3"/>
      <c r="X5" s="3"/>
      <c r="Y5" s="3"/>
      <c r="Z5" s="3"/>
    </row>
    <row r="6" spans="1:26" ht="9.75" customHeight="1" x14ac:dyDescent="0.3">
      <c r="A6" s="209"/>
      <c r="B6" s="210"/>
      <c r="C6" s="211"/>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4" t="s">
        <v>126</v>
      </c>
      <c r="B8" s="199"/>
      <c r="C8" s="199"/>
      <c r="D8" s="199"/>
      <c r="E8" s="199"/>
      <c r="F8" s="199"/>
      <c r="G8" s="199"/>
      <c r="H8" s="199"/>
      <c r="I8" s="199"/>
      <c r="J8" s="199"/>
      <c r="K8" s="199"/>
      <c r="L8" s="199"/>
      <c r="M8" s="199"/>
      <c r="N8" s="199"/>
      <c r="O8" s="199"/>
      <c r="P8" s="199"/>
      <c r="Q8" s="199"/>
      <c r="R8" s="200"/>
      <c r="S8" s="3"/>
      <c r="T8" s="3"/>
      <c r="U8" s="3"/>
      <c r="V8" s="3" t="s">
        <v>9</v>
      </c>
      <c r="W8" s="3"/>
      <c r="X8" s="3"/>
      <c r="Y8" s="3"/>
      <c r="Z8" s="3"/>
    </row>
    <row r="9" spans="1:26" ht="9.75" customHeight="1" x14ac:dyDescent="0.3">
      <c r="A9" s="68"/>
      <c r="B9" s="69"/>
      <c r="C9" s="69"/>
      <c r="D9" s="69"/>
      <c r="E9" s="69"/>
      <c r="F9" s="69"/>
      <c r="G9" s="69"/>
      <c r="H9" s="69"/>
      <c r="I9" s="69"/>
      <c r="J9" s="69"/>
      <c r="K9" s="69"/>
      <c r="L9" s="69"/>
      <c r="M9" s="69"/>
      <c r="N9" s="69"/>
      <c r="O9" s="69"/>
      <c r="P9" s="69"/>
      <c r="Q9" s="69"/>
      <c r="R9" s="68"/>
      <c r="S9" s="3"/>
      <c r="T9" s="3"/>
      <c r="U9" s="3"/>
      <c r="V9" s="3"/>
      <c r="W9" s="3"/>
      <c r="X9" s="3"/>
      <c r="Y9" s="3"/>
      <c r="Z9" s="3"/>
    </row>
    <row r="10" spans="1:26" ht="49.5" customHeight="1" x14ac:dyDescent="0.3">
      <c r="A10" s="68"/>
      <c r="B10" s="69"/>
      <c r="C10" s="301" t="s">
        <v>127</v>
      </c>
      <c r="D10" s="199"/>
      <c r="E10" s="199"/>
      <c r="F10" s="199"/>
      <c r="G10" s="199"/>
      <c r="H10" s="199"/>
      <c r="I10" s="199"/>
      <c r="J10" s="199"/>
      <c r="K10" s="199"/>
      <c r="L10" s="199"/>
      <c r="M10" s="199"/>
      <c r="N10" s="199"/>
      <c r="O10" s="199"/>
      <c r="P10" s="200"/>
      <c r="Q10" s="69"/>
      <c r="R10" s="68"/>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9"/>
      <c r="R11" s="68"/>
      <c r="S11" s="3"/>
      <c r="T11" s="3"/>
      <c r="U11" s="3"/>
      <c r="V11" s="3"/>
      <c r="W11" s="3"/>
      <c r="X11" s="3"/>
      <c r="Y11" s="3"/>
      <c r="Z11" s="3"/>
    </row>
    <row r="12" spans="1:26" ht="19.5" customHeight="1" x14ac:dyDescent="0.3">
      <c r="A12" s="4"/>
      <c r="B12" s="3"/>
      <c r="C12" s="212" t="s">
        <v>128</v>
      </c>
      <c r="D12" s="199"/>
      <c r="E12" s="199"/>
      <c r="F12" s="199"/>
      <c r="G12" s="199"/>
      <c r="H12" s="199"/>
      <c r="I12" s="199"/>
      <c r="J12" s="199"/>
      <c r="K12" s="199"/>
      <c r="L12" s="199"/>
      <c r="M12" s="199"/>
      <c r="N12" s="199"/>
      <c r="O12" s="199"/>
      <c r="P12" s="200"/>
      <c r="Q12" s="3"/>
      <c r="R12" s="4"/>
      <c r="S12" s="3"/>
      <c r="T12" s="3"/>
      <c r="U12" s="3"/>
      <c r="V12" s="3"/>
      <c r="W12" s="3"/>
      <c r="X12" s="3"/>
      <c r="Y12" s="3"/>
      <c r="Z12" s="3"/>
    </row>
    <row r="13" spans="1:26" ht="9.75" customHeight="1" x14ac:dyDescent="0.3">
      <c r="A13" s="4"/>
      <c r="B13" s="3"/>
      <c r="C13" s="3" t="s">
        <v>9</v>
      </c>
      <c r="D13" s="3"/>
      <c r="E13" s="3"/>
      <c r="F13" s="3"/>
      <c r="G13" s="3"/>
      <c r="H13" s="3" t="s">
        <v>9</v>
      </c>
      <c r="I13" s="3"/>
      <c r="J13" s="3"/>
      <c r="K13" s="3"/>
      <c r="L13" s="3"/>
      <c r="M13" s="3"/>
      <c r="N13" s="3"/>
      <c r="O13" s="3"/>
      <c r="P13" s="3"/>
      <c r="Q13" s="3"/>
      <c r="R13" s="4"/>
      <c r="S13" s="3"/>
      <c r="T13" s="3"/>
      <c r="U13" s="3"/>
      <c r="V13" s="3"/>
      <c r="W13" s="3"/>
      <c r="X13" s="3"/>
      <c r="Y13" s="3"/>
      <c r="Z13" s="3"/>
    </row>
    <row r="14" spans="1:26" ht="72.75" customHeight="1" x14ac:dyDescent="0.3">
      <c r="A14" s="4"/>
      <c r="B14" s="3"/>
      <c r="C14" s="251" t="s">
        <v>299</v>
      </c>
      <c r="D14" s="252"/>
      <c r="E14" s="252"/>
      <c r="F14" s="252"/>
      <c r="G14" s="252"/>
      <c r="H14" s="252"/>
      <c r="I14" s="252"/>
      <c r="J14" s="252"/>
      <c r="K14" s="252"/>
      <c r="L14" s="252"/>
      <c r="M14" s="252"/>
      <c r="N14" s="252"/>
      <c r="O14" s="252"/>
      <c r="P14" s="253"/>
      <c r="Q14" s="3"/>
      <c r="R14" s="4"/>
      <c r="S14" s="3"/>
      <c r="T14" s="3"/>
      <c r="U14" s="3"/>
      <c r="V14" s="3"/>
      <c r="W14" s="3"/>
      <c r="X14" s="3"/>
      <c r="Y14" s="3"/>
      <c r="Z14" s="3"/>
    </row>
    <row r="15" spans="1:26" ht="9.75" customHeight="1" x14ac:dyDescent="0.3">
      <c r="A15" s="4"/>
      <c r="B15" s="3"/>
      <c r="C15" s="85"/>
      <c r="D15" s="85"/>
      <c r="E15" s="85"/>
      <c r="F15" s="85"/>
      <c r="G15" s="85"/>
      <c r="H15" s="85"/>
      <c r="I15" s="85"/>
      <c r="J15" s="85"/>
      <c r="K15" s="85"/>
      <c r="L15" s="85"/>
      <c r="M15" s="85"/>
      <c r="N15" s="85"/>
      <c r="O15" s="85"/>
      <c r="P15" s="85"/>
      <c r="Q15" s="3"/>
      <c r="R15" s="4"/>
      <c r="S15" s="3"/>
      <c r="T15" s="3"/>
      <c r="U15" s="3"/>
      <c r="V15" s="3"/>
      <c r="W15" s="3"/>
      <c r="X15" s="3"/>
      <c r="Y15" s="3"/>
      <c r="Z15" s="3"/>
    </row>
    <row r="16" spans="1:26" ht="31.5" customHeight="1" x14ac:dyDescent="0.3">
      <c r="A16" s="4"/>
      <c r="B16" s="3"/>
      <c r="C16" s="89" t="str">
        <f>'3. Dangers'!C16</f>
        <v xml:space="preserve">Inondation </v>
      </c>
      <c r="D16" s="23"/>
      <c r="E16" s="299"/>
      <c r="F16" s="199"/>
      <c r="G16" s="199"/>
      <c r="H16" s="199"/>
      <c r="I16" s="199"/>
      <c r="J16" s="199"/>
      <c r="K16" s="200"/>
      <c r="L16" s="90"/>
      <c r="M16" s="90"/>
      <c r="N16" s="90"/>
      <c r="O16" s="90"/>
      <c r="P16" s="90"/>
      <c r="Q16" s="3"/>
      <c r="R16" s="4"/>
      <c r="S16" s="3"/>
      <c r="T16" s="3"/>
      <c r="U16" s="3"/>
      <c r="V16" s="3"/>
      <c r="W16" s="3"/>
      <c r="X16" s="3"/>
      <c r="Y16" s="3"/>
      <c r="Z16" s="3"/>
    </row>
    <row r="17" spans="1:26" ht="12" customHeight="1" x14ac:dyDescent="0.3">
      <c r="A17" s="4"/>
      <c r="B17" s="3"/>
      <c r="C17" s="293"/>
      <c r="D17" s="196"/>
      <c r="E17" s="196"/>
      <c r="F17" s="196"/>
      <c r="G17" s="196"/>
      <c r="H17" s="196"/>
      <c r="I17" s="196"/>
      <c r="J17" s="196"/>
      <c r="K17" s="196"/>
      <c r="L17" s="196"/>
      <c r="M17" s="196"/>
      <c r="N17" s="196"/>
      <c r="O17" s="196"/>
      <c r="P17" s="197"/>
      <c r="Q17" s="3"/>
      <c r="R17" s="4"/>
      <c r="S17" s="3"/>
      <c r="T17" s="3"/>
      <c r="U17" s="3"/>
      <c r="V17" s="3"/>
      <c r="W17" s="3"/>
      <c r="X17" s="3"/>
      <c r="Y17" s="3"/>
      <c r="Z17" s="3"/>
    </row>
    <row r="18" spans="1:26" ht="31.5" customHeight="1" x14ac:dyDescent="0.3">
      <c r="A18" s="4"/>
      <c r="B18" s="3"/>
      <c r="C18" s="291" t="s">
        <v>13</v>
      </c>
      <c r="D18" s="196"/>
      <c r="E18" s="197"/>
      <c r="F18" s="29"/>
      <c r="G18" s="287" t="s">
        <v>129</v>
      </c>
      <c r="H18" s="214"/>
      <c r="I18" s="214"/>
      <c r="J18" s="214"/>
      <c r="K18" s="288"/>
      <c r="L18" s="29"/>
      <c r="M18" s="302" t="s">
        <v>130</v>
      </c>
      <c r="N18" s="303"/>
      <c r="O18" s="304"/>
      <c r="P18" s="92" t="s">
        <v>131</v>
      </c>
      <c r="Q18" s="3"/>
      <c r="R18" s="4"/>
      <c r="S18" s="3"/>
      <c r="T18" s="3"/>
      <c r="U18" s="3"/>
      <c r="V18" s="3"/>
      <c r="W18" s="3"/>
      <c r="X18" s="3"/>
      <c r="Y18" s="3"/>
      <c r="Z18" s="3"/>
    </row>
    <row r="19" spans="1:26" ht="57" customHeight="1" x14ac:dyDescent="0.3">
      <c r="A19" s="4"/>
      <c r="B19" s="3"/>
      <c r="C19" s="289" t="s">
        <v>15</v>
      </c>
      <c r="D19" s="196"/>
      <c r="E19" s="197"/>
      <c r="F19" s="39"/>
      <c r="G19" s="262" t="s">
        <v>322</v>
      </c>
      <c r="H19" s="226"/>
      <c r="I19" s="226"/>
      <c r="J19" s="226"/>
      <c r="K19" s="227"/>
      <c r="L19" s="93"/>
      <c r="M19" s="280" t="s">
        <v>135</v>
      </c>
      <c r="N19" s="226"/>
      <c r="O19" s="227"/>
      <c r="P19" s="94">
        <f t="shared" ref="P19:P28" si="0">IF(M19="---","",VLOOKUP(M19,$C$60:$D$63,2,FALSE))</f>
        <v>0.67</v>
      </c>
      <c r="Q19" s="3"/>
      <c r="R19" s="4"/>
      <c r="S19" s="3"/>
      <c r="T19" s="3"/>
      <c r="U19" s="3"/>
      <c r="V19" s="3"/>
      <c r="W19" s="3"/>
      <c r="X19" s="3"/>
      <c r="Y19" s="3"/>
      <c r="Z19" s="3"/>
    </row>
    <row r="20" spans="1:26" ht="62.25" customHeight="1" x14ac:dyDescent="0.3">
      <c r="A20" s="4"/>
      <c r="B20" s="3"/>
      <c r="C20" s="290" t="s">
        <v>16</v>
      </c>
      <c r="D20" s="196"/>
      <c r="E20" s="197"/>
      <c r="F20" s="39"/>
      <c r="G20" s="265" t="s">
        <v>321</v>
      </c>
      <c r="H20" s="226"/>
      <c r="I20" s="226"/>
      <c r="J20" s="226"/>
      <c r="K20" s="227"/>
      <c r="L20" s="93"/>
      <c r="M20" s="280" t="s">
        <v>135</v>
      </c>
      <c r="N20" s="226"/>
      <c r="O20" s="227"/>
      <c r="P20" s="94">
        <f t="shared" si="0"/>
        <v>0.67</v>
      </c>
      <c r="Q20" s="3"/>
      <c r="R20" s="4"/>
      <c r="S20" s="3"/>
      <c r="T20" s="3"/>
      <c r="U20" s="3"/>
      <c r="V20" s="3"/>
      <c r="W20" s="3"/>
      <c r="X20" s="3"/>
      <c r="Y20" s="3"/>
      <c r="Z20" s="3"/>
    </row>
    <row r="21" spans="1:26" ht="62.25" customHeight="1" x14ac:dyDescent="0.3">
      <c r="A21" s="4"/>
      <c r="B21" s="3"/>
      <c r="C21" s="289" t="s">
        <v>17</v>
      </c>
      <c r="D21" s="196"/>
      <c r="E21" s="197"/>
      <c r="F21" s="39"/>
      <c r="G21" s="251" t="s">
        <v>230</v>
      </c>
      <c r="H21" s="226"/>
      <c r="I21" s="226"/>
      <c r="J21" s="226"/>
      <c r="K21" s="227"/>
      <c r="L21" s="93"/>
      <c r="M21" s="280" t="s">
        <v>135</v>
      </c>
      <c r="N21" s="226"/>
      <c r="O21" s="227"/>
      <c r="P21" s="94">
        <f t="shared" si="0"/>
        <v>0.67</v>
      </c>
      <c r="Q21" s="3"/>
      <c r="R21" s="4"/>
      <c r="S21" s="3"/>
      <c r="T21" s="3"/>
      <c r="U21" s="3"/>
      <c r="V21" s="3"/>
      <c r="W21" s="3"/>
      <c r="X21" s="3"/>
      <c r="Y21" s="3"/>
      <c r="Z21" s="3"/>
    </row>
    <row r="22" spans="1:26" ht="62.25" customHeight="1" x14ac:dyDescent="0.3">
      <c r="A22" s="4"/>
      <c r="B22" s="3"/>
      <c r="C22" s="290" t="s">
        <v>110</v>
      </c>
      <c r="D22" s="196"/>
      <c r="E22" s="197"/>
      <c r="F22" s="39"/>
      <c r="G22" s="262" t="s">
        <v>300</v>
      </c>
      <c r="H22" s="226"/>
      <c r="I22" s="226"/>
      <c r="J22" s="226"/>
      <c r="K22" s="227"/>
      <c r="L22" s="93"/>
      <c r="M22" s="280" t="s">
        <v>135</v>
      </c>
      <c r="N22" s="226"/>
      <c r="O22" s="227"/>
      <c r="P22" s="94">
        <f t="shared" si="0"/>
        <v>0.67</v>
      </c>
      <c r="Q22" s="3"/>
      <c r="R22" s="4"/>
      <c r="S22" s="3"/>
      <c r="T22" s="3"/>
      <c r="U22" s="3"/>
      <c r="V22" s="3"/>
      <c r="W22" s="3"/>
      <c r="X22" s="3"/>
      <c r="Y22" s="3"/>
      <c r="Z22" s="3"/>
    </row>
    <row r="23" spans="1:26" ht="49.5" customHeight="1" x14ac:dyDescent="0.3">
      <c r="A23" s="4"/>
      <c r="B23" s="3"/>
      <c r="C23" s="289" t="s">
        <v>19</v>
      </c>
      <c r="D23" s="196"/>
      <c r="E23" s="197"/>
      <c r="F23" s="39"/>
      <c r="G23" s="278" t="s">
        <v>301</v>
      </c>
      <c r="H23" s="226"/>
      <c r="I23" s="226"/>
      <c r="J23" s="226"/>
      <c r="K23" s="227"/>
      <c r="L23" s="93"/>
      <c r="M23" s="283" t="s">
        <v>137</v>
      </c>
      <c r="N23" s="226"/>
      <c r="O23" s="227"/>
      <c r="P23" s="94">
        <f t="shared" si="0"/>
        <v>0</v>
      </c>
      <c r="Q23" s="3"/>
      <c r="R23" s="4"/>
      <c r="S23" s="3"/>
      <c r="T23" s="3"/>
      <c r="U23" s="3"/>
      <c r="V23" s="3"/>
      <c r="W23" s="3"/>
      <c r="X23" s="3"/>
      <c r="Y23" s="3"/>
      <c r="Z23" s="3"/>
    </row>
    <row r="24" spans="1:26" ht="49.5" customHeight="1" x14ac:dyDescent="0.3">
      <c r="A24" s="4"/>
      <c r="B24" s="3"/>
      <c r="C24" s="290" t="s">
        <v>112</v>
      </c>
      <c r="D24" s="196"/>
      <c r="E24" s="197"/>
      <c r="F24" s="39"/>
      <c r="G24" s="262" t="s">
        <v>302</v>
      </c>
      <c r="H24" s="226"/>
      <c r="I24" s="226"/>
      <c r="J24" s="226"/>
      <c r="K24" s="227"/>
      <c r="L24" s="93"/>
      <c r="M24" s="283" t="s">
        <v>135</v>
      </c>
      <c r="N24" s="226"/>
      <c r="O24" s="227"/>
      <c r="P24" s="94">
        <f t="shared" si="0"/>
        <v>0.67</v>
      </c>
      <c r="Q24" s="3"/>
      <c r="R24" s="4"/>
      <c r="S24" s="3"/>
      <c r="T24" s="3"/>
      <c r="U24" s="3"/>
      <c r="V24" s="3"/>
      <c r="W24" s="3"/>
      <c r="X24" s="3"/>
      <c r="Y24" s="3"/>
      <c r="Z24" s="3"/>
    </row>
    <row r="25" spans="1:26" ht="49.5" customHeight="1" x14ac:dyDescent="0.3">
      <c r="A25" s="4"/>
      <c r="B25" s="3"/>
      <c r="C25" s="289" t="s">
        <v>113</v>
      </c>
      <c r="D25" s="196"/>
      <c r="E25" s="197"/>
      <c r="F25" s="39"/>
      <c r="G25" s="278" t="s">
        <v>303</v>
      </c>
      <c r="H25" s="226"/>
      <c r="I25" s="226"/>
      <c r="J25" s="226"/>
      <c r="K25" s="227"/>
      <c r="L25" s="93"/>
      <c r="M25" s="280" t="s">
        <v>136</v>
      </c>
      <c r="N25" s="226"/>
      <c r="O25" s="227"/>
      <c r="P25" s="94">
        <f t="shared" si="0"/>
        <v>0.33</v>
      </c>
      <c r="Q25" s="3"/>
      <c r="R25" s="4"/>
      <c r="S25" s="3"/>
      <c r="T25" s="3"/>
      <c r="U25" s="3"/>
      <c r="V25" s="3"/>
      <c r="W25" s="3"/>
      <c r="X25" s="3"/>
      <c r="Y25" s="3"/>
      <c r="Z25" s="3"/>
    </row>
    <row r="26" spans="1:26" ht="49.5" customHeight="1" x14ac:dyDescent="0.3">
      <c r="A26" s="4"/>
      <c r="B26" s="3"/>
      <c r="C26" s="290" t="s">
        <v>114</v>
      </c>
      <c r="D26" s="196"/>
      <c r="E26" s="197"/>
      <c r="F26" s="39"/>
      <c r="G26" s="262" t="s">
        <v>320</v>
      </c>
      <c r="H26" s="226"/>
      <c r="I26" s="226"/>
      <c r="J26" s="226"/>
      <c r="K26" s="227"/>
      <c r="L26" s="93"/>
      <c r="M26" s="283" t="s">
        <v>136</v>
      </c>
      <c r="N26" s="226"/>
      <c r="O26" s="227"/>
      <c r="P26" s="94">
        <f t="shared" si="0"/>
        <v>0.33</v>
      </c>
      <c r="Q26" s="3"/>
      <c r="R26" s="4"/>
      <c r="S26" s="3"/>
      <c r="T26" s="3"/>
      <c r="U26" s="3"/>
      <c r="V26" s="3"/>
      <c r="W26" s="3"/>
      <c r="X26" s="3"/>
      <c r="Y26" s="3"/>
      <c r="Z26" s="3"/>
    </row>
    <row r="27" spans="1:26" ht="49.5" hidden="1" customHeight="1" x14ac:dyDescent="0.3">
      <c r="A27" s="4"/>
      <c r="B27" s="3"/>
      <c r="C27" s="290" t="s">
        <v>115</v>
      </c>
      <c r="D27" s="196"/>
      <c r="E27" s="197"/>
      <c r="F27" s="39"/>
      <c r="G27" s="282" t="e">
        <f t="shared" ref="G27:G28" si="1">#REF!</f>
        <v>#REF!</v>
      </c>
      <c r="H27" s="226"/>
      <c r="I27" s="226"/>
      <c r="J27" s="226"/>
      <c r="K27" s="227"/>
      <c r="L27" s="93"/>
      <c r="M27" s="283" t="e">
        <f t="shared" ref="M27:M28" si="2">#REF!</f>
        <v>#REF!</v>
      </c>
      <c r="N27" s="226"/>
      <c r="O27" s="227"/>
      <c r="P27" s="94" t="e">
        <f t="shared" si="0"/>
        <v>#REF!</v>
      </c>
      <c r="Q27" s="3"/>
      <c r="R27" s="4"/>
      <c r="S27" s="3"/>
      <c r="T27" s="3"/>
      <c r="U27" s="3"/>
      <c r="V27" s="3"/>
      <c r="W27" s="3"/>
      <c r="X27" s="3"/>
      <c r="Y27" s="3"/>
      <c r="Z27" s="3"/>
    </row>
    <row r="28" spans="1:26" ht="49.5" hidden="1" customHeight="1" x14ac:dyDescent="0.3">
      <c r="A28" s="4"/>
      <c r="B28" s="3"/>
      <c r="C28" s="289" t="s">
        <v>116</v>
      </c>
      <c r="D28" s="196"/>
      <c r="E28" s="197"/>
      <c r="F28" s="39"/>
      <c r="G28" s="277" t="e">
        <f t="shared" si="1"/>
        <v>#REF!</v>
      </c>
      <c r="H28" s="226"/>
      <c r="I28" s="226"/>
      <c r="J28" s="226"/>
      <c r="K28" s="227"/>
      <c r="L28" s="93"/>
      <c r="M28" s="283" t="e">
        <f t="shared" si="2"/>
        <v>#REF!</v>
      </c>
      <c r="N28" s="226"/>
      <c r="O28" s="227"/>
      <c r="P28" s="94" t="e">
        <f t="shared" si="0"/>
        <v>#REF!</v>
      </c>
      <c r="Q28" s="3"/>
      <c r="R28" s="4"/>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3"/>
      <c r="R29" s="4"/>
      <c r="S29" s="3"/>
      <c r="T29" s="3"/>
      <c r="U29" s="3"/>
      <c r="V29" s="3"/>
      <c r="W29" s="3"/>
      <c r="X29" s="3"/>
      <c r="Y29" s="3"/>
      <c r="Z29" s="3"/>
    </row>
    <row r="30" spans="1:26" ht="31.5" customHeight="1" x14ac:dyDescent="0.3">
      <c r="A30" s="4"/>
      <c r="B30" s="3"/>
      <c r="C30" s="96" t="str">
        <f>'3. Dangers'!M16</f>
        <v>Cyclone</v>
      </c>
      <c r="D30" s="95"/>
      <c r="E30" s="297"/>
      <c r="F30" s="199"/>
      <c r="G30" s="199"/>
      <c r="H30" s="199"/>
      <c r="I30" s="199"/>
      <c r="J30" s="199"/>
      <c r="K30" s="200"/>
      <c r="L30" s="97"/>
      <c r="M30" s="97"/>
      <c r="N30" s="97"/>
      <c r="O30" s="97"/>
      <c r="P30" s="97"/>
      <c r="Q30" s="3"/>
      <c r="R30" s="4"/>
      <c r="S30" s="3"/>
      <c r="T30" s="3"/>
      <c r="U30" s="3"/>
      <c r="V30" s="3"/>
      <c r="W30" s="3"/>
      <c r="X30" s="3"/>
      <c r="Y30" s="3"/>
      <c r="Z30" s="3"/>
    </row>
    <row r="31" spans="1:26" ht="12" customHeight="1" x14ac:dyDescent="0.3">
      <c r="A31" s="4"/>
      <c r="B31" s="3"/>
      <c r="C31" s="293"/>
      <c r="D31" s="196"/>
      <c r="E31" s="196"/>
      <c r="F31" s="196"/>
      <c r="G31" s="196"/>
      <c r="H31" s="196"/>
      <c r="I31" s="196"/>
      <c r="J31" s="196"/>
      <c r="K31" s="196"/>
      <c r="L31" s="196"/>
      <c r="M31" s="196"/>
      <c r="N31" s="196"/>
      <c r="O31" s="196"/>
      <c r="P31" s="197"/>
      <c r="Q31" s="3"/>
      <c r="R31" s="4"/>
      <c r="S31" s="3"/>
      <c r="T31" s="3"/>
      <c r="U31" s="3"/>
      <c r="V31" s="3"/>
      <c r="W31" s="3"/>
      <c r="X31" s="3"/>
      <c r="Y31" s="3"/>
      <c r="Z31" s="3"/>
    </row>
    <row r="32" spans="1:26" ht="31.5" customHeight="1" x14ac:dyDescent="0.3">
      <c r="A32" s="4"/>
      <c r="B32" s="3"/>
      <c r="C32" s="291" t="s">
        <v>13</v>
      </c>
      <c r="D32" s="196"/>
      <c r="E32" s="197"/>
      <c r="F32" s="29"/>
      <c r="G32" s="287" t="s">
        <v>132</v>
      </c>
      <c r="H32" s="214"/>
      <c r="I32" s="214"/>
      <c r="J32" s="214"/>
      <c r="K32" s="288"/>
      <c r="L32" s="29"/>
      <c r="M32" s="302" t="s">
        <v>130</v>
      </c>
      <c r="N32" s="303"/>
      <c r="O32" s="304"/>
      <c r="P32" s="92" t="s">
        <v>131</v>
      </c>
      <c r="Q32" s="3"/>
      <c r="R32" s="4"/>
      <c r="S32" s="3"/>
      <c r="T32" s="3"/>
      <c r="U32" s="3"/>
      <c r="V32" s="3"/>
      <c r="W32" s="3"/>
      <c r="X32" s="3"/>
      <c r="Y32" s="3"/>
      <c r="Z32" s="3"/>
    </row>
    <row r="33" spans="1:26" ht="49.5" customHeight="1" x14ac:dyDescent="0.3">
      <c r="A33" s="4"/>
      <c r="B33" s="3"/>
      <c r="C33" s="289" t="s">
        <v>15</v>
      </c>
      <c r="D33" s="196"/>
      <c r="E33" s="197"/>
      <c r="F33" s="39"/>
      <c r="G33" s="251" t="s">
        <v>307</v>
      </c>
      <c r="H33" s="226"/>
      <c r="I33" s="226"/>
      <c r="J33" s="226"/>
      <c r="K33" s="227"/>
      <c r="L33" s="93"/>
      <c r="M33" s="280" t="s">
        <v>135</v>
      </c>
      <c r="N33" s="226"/>
      <c r="O33" s="227"/>
      <c r="P33" s="94">
        <f t="shared" ref="P33:P42" si="3">IF(M33="---","",VLOOKUP(M33,$C$60:$D$63,2,FALSE))</f>
        <v>0.67</v>
      </c>
      <c r="Q33" s="3"/>
      <c r="R33" s="4"/>
      <c r="S33" s="3"/>
      <c r="T33" s="3"/>
      <c r="U33" s="3"/>
      <c r="V33" s="3"/>
      <c r="W33" s="3"/>
      <c r="X33" s="3"/>
      <c r="Y33" s="3"/>
      <c r="Z33" s="3"/>
    </row>
    <row r="34" spans="1:26" ht="49.5" customHeight="1" x14ac:dyDescent="0.3">
      <c r="A34" s="4"/>
      <c r="B34" s="3"/>
      <c r="C34" s="290" t="s">
        <v>16</v>
      </c>
      <c r="D34" s="196"/>
      <c r="E34" s="197"/>
      <c r="F34" s="39"/>
      <c r="G34" s="251" t="s">
        <v>304</v>
      </c>
      <c r="H34" s="226"/>
      <c r="I34" s="226"/>
      <c r="J34" s="226"/>
      <c r="K34" s="227"/>
      <c r="L34" s="93"/>
      <c r="M34" s="280" t="s">
        <v>135</v>
      </c>
      <c r="N34" s="226"/>
      <c r="O34" s="227"/>
      <c r="P34" s="94">
        <f t="shared" si="3"/>
        <v>0.67</v>
      </c>
      <c r="Q34" s="3"/>
      <c r="R34" s="4"/>
      <c r="S34" s="3"/>
      <c r="T34" s="3"/>
      <c r="U34" s="3"/>
      <c r="V34" s="3"/>
      <c r="W34" s="3"/>
      <c r="X34" s="3"/>
      <c r="Y34" s="3"/>
      <c r="Z34" s="3"/>
    </row>
    <row r="35" spans="1:26" ht="49.5" customHeight="1" x14ac:dyDescent="0.3">
      <c r="A35" s="4"/>
      <c r="B35" s="3"/>
      <c r="C35" s="289" t="s">
        <v>17</v>
      </c>
      <c r="D35" s="196"/>
      <c r="E35" s="197"/>
      <c r="F35" s="39"/>
      <c r="G35" s="251" t="s">
        <v>305</v>
      </c>
      <c r="H35" s="226"/>
      <c r="I35" s="226"/>
      <c r="J35" s="226"/>
      <c r="K35" s="227"/>
      <c r="L35" s="93"/>
      <c r="M35" s="280" t="s">
        <v>135</v>
      </c>
      <c r="N35" s="226"/>
      <c r="O35" s="227"/>
      <c r="P35" s="94">
        <f t="shared" si="3"/>
        <v>0.67</v>
      </c>
      <c r="Q35" s="3"/>
      <c r="R35" s="4"/>
      <c r="S35" s="3"/>
      <c r="T35" s="3"/>
      <c r="U35" s="3"/>
      <c r="V35" s="3"/>
      <c r="W35" s="3"/>
      <c r="X35" s="3"/>
      <c r="Y35" s="3"/>
      <c r="Z35" s="3"/>
    </row>
    <row r="36" spans="1:26" ht="49.5" customHeight="1" x14ac:dyDescent="0.3">
      <c r="A36" s="4"/>
      <c r="B36" s="3"/>
      <c r="C36" s="290" t="s">
        <v>110</v>
      </c>
      <c r="D36" s="196"/>
      <c r="E36" s="197"/>
      <c r="F36" s="39"/>
      <c r="G36" s="251" t="s">
        <v>306</v>
      </c>
      <c r="H36" s="226"/>
      <c r="I36" s="226"/>
      <c r="J36" s="226"/>
      <c r="K36" s="227"/>
      <c r="L36" s="93"/>
      <c r="M36" s="280" t="s">
        <v>134</v>
      </c>
      <c r="N36" s="226"/>
      <c r="O36" s="227"/>
      <c r="P36" s="94">
        <f t="shared" si="3"/>
        <v>1</v>
      </c>
      <c r="Q36" s="3"/>
      <c r="R36" s="4"/>
      <c r="S36" s="3"/>
      <c r="T36" s="3"/>
      <c r="U36" s="3"/>
      <c r="V36" s="3"/>
      <c r="W36" s="3"/>
      <c r="X36" s="3"/>
      <c r="Y36" s="3"/>
      <c r="Z36" s="3"/>
    </row>
    <row r="37" spans="1:26" ht="49.5" customHeight="1" x14ac:dyDescent="0.3">
      <c r="A37" s="4"/>
      <c r="B37" s="3"/>
      <c r="C37" s="289" t="s">
        <v>19</v>
      </c>
      <c r="D37" s="196"/>
      <c r="E37" s="197"/>
      <c r="F37" s="39"/>
      <c r="G37" s="231" t="s">
        <v>308</v>
      </c>
      <c r="H37" s="226"/>
      <c r="I37" s="226"/>
      <c r="J37" s="226"/>
      <c r="K37" s="227"/>
      <c r="L37" s="93"/>
      <c r="M37" s="280" t="s">
        <v>135</v>
      </c>
      <c r="N37" s="226"/>
      <c r="O37" s="227"/>
      <c r="P37" s="94">
        <f t="shared" si="3"/>
        <v>0.67</v>
      </c>
      <c r="Q37" s="3"/>
      <c r="R37" s="4"/>
      <c r="S37" s="3"/>
      <c r="T37" s="3"/>
      <c r="U37" s="3"/>
      <c r="V37" s="3"/>
      <c r="W37" s="3"/>
      <c r="X37" s="3"/>
      <c r="Y37" s="3"/>
      <c r="Z37" s="3"/>
    </row>
    <row r="38" spans="1:26" ht="49.5" customHeight="1" x14ac:dyDescent="0.3">
      <c r="A38" s="4"/>
      <c r="B38" s="3"/>
      <c r="C38" s="290" t="s">
        <v>112</v>
      </c>
      <c r="D38" s="196"/>
      <c r="E38" s="197"/>
      <c r="F38" s="39"/>
      <c r="G38" s="262" t="s">
        <v>309</v>
      </c>
      <c r="H38" s="226"/>
      <c r="I38" s="226"/>
      <c r="J38" s="226"/>
      <c r="K38" s="227"/>
      <c r="L38" s="93"/>
      <c r="M38" s="283" t="s">
        <v>135</v>
      </c>
      <c r="N38" s="226"/>
      <c r="O38" s="227"/>
      <c r="P38" s="94">
        <f t="shared" si="3"/>
        <v>0.67</v>
      </c>
      <c r="Q38" s="3"/>
      <c r="R38" s="4"/>
      <c r="S38" s="3"/>
      <c r="T38" s="3"/>
      <c r="U38" s="3"/>
      <c r="V38" s="3"/>
      <c r="W38" s="3"/>
      <c r="X38" s="3"/>
      <c r="Y38" s="3"/>
      <c r="Z38" s="3"/>
    </row>
    <row r="39" spans="1:26" ht="49.5" customHeight="1" x14ac:dyDescent="0.3">
      <c r="A39" s="4"/>
      <c r="B39" s="3"/>
      <c r="C39" s="289" t="s">
        <v>113</v>
      </c>
      <c r="D39" s="196"/>
      <c r="E39" s="197"/>
      <c r="F39" s="39"/>
      <c r="G39" s="231" t="s">
        <v>310</v>
      </c>
      <c r="H39" s="226"/>
      <c r="I39" s="226"/>
      <c r="J39" s="226"/>
      <c r="K39" s="227"/>
      <c r="L39" s="93"/>
      <c r="M39" s="280" t="s">
        <v>135</v>
      </c>
      <c r="N39" s="226"/>
      <c r="O39" s="227"/>
      <c r="P39" s="94">
        <f t="shared" si="3"/>
        <v>0.67</v>
      </c>
      <c r="Q39" s="3"/>
      <c r="R39" s="4"/>
      <c r="S39" s="3"/>
      <c r="T39" s="3"/>
      <c r="U39" s="3"/>
      <c r="V39" s="3"/>
      <c r="W39" s="3"/>
      <c r="X39" s="3"/>
      <c r="Y39" s="3"/>
      <c r="Z39" s="3"/>
    </row>
    <row r="40" spans="1:26" ht="49.5" customHeight="1" x14ac:dyDescent="0.3">
      <c r="A40" s="4"/>
      <c r="B40" s="3"/>
      <c r="C40" s="290" t="s">
        <v>114</v>
      </c>
      <c r="D40" s="196"/>
      <c r="E40" s="197"/>
      <c r="F40" s="39"/>
      <c r="G40" s="251" t="s">
        <v>311</v>
      </c>
      <c r="H40" s="226"/>
      <c r="I40" s="226"/>
      <c r="J40" s="226"/>
      <c r="K40" s="227"/>
      <c r="L40" s="93"/>
      <c r="M40" s="280" t="s">
        <v>136</v>
      </c>
      <c r="N40" s="226"/>
      <c r="O40" s="227"/>
      <c r="P40" s="94">
        <f t="shared" si="3"/>
        <v>0.33</v>
      </c>
      <c r="Q40" s="3"/>
      <c r="R40" s="4"/>
      <c r="S40" s="3"/>
      <c r="T40" s="3"/>
      <c r="U40" s="3"/>
      <c r="V40" s="3"/>
      <c r="W40" s="3"/>
      <c r="X40" s="3"/>
      <c r="Y40" s="3"/>
      <c r="Z40" s="3"/>
    </row>
    <row r="41" spans="1:26" ht="49.5" hidden="1" customHeight="1" x14ac:dyDescent="0.3">
      <c r="A41" s="4"/>
      <c r="B41" s="3"/>
      <c r="C41" s="290" t="s">
        <v>115</v>
      </c>
      <c r="D41" s="196"/>
      <c r="E41" s="197"/>
      <c r="F41" s="39"/>
      <c r="G41" s="282" t="e">
        <f t="shared" ref="G41:G42" si="4">G27</f>
        <v>#REF!</v>
      </c>
      <c r="H41" s="226"/>
      <c r="I41" s="226"/>
      <c r="J41" s="226"/>
      <c r="K41" s="227"/>
      <c r="L41" s="93"/>
      <c r="M41" s="283" t="e">
        <f>#REF!</f>
        <v>#REF!</v>
      </c>
      <c r="N41" s="226"/>
      <c r="O41" s="227"/>
      <c r="P41" s="94" t="e">
        <f t="shared" si="3"/>
        <v>#REF!</v>
      </c>
      <c r="Q41" s="3"/>
      <c r="R41" s="4"/>
      <c r="S41" s="3"/>
      <c r="T41" s="3"/>
      <c r="U41" s="3"/>
      <c r="V41" s="3"/>
      <c r="W41" s="3"/>
      <c r="X41" s="3"/>
      <c r="Y41" s="3"/>
      <c r="Z41" s="3"/>
    </row>
    <row r="42" spans="1:26" ht="49.5" hidden="1" customHeight="1" x14ac:dyDescent="0.3">
      <c r="A42" s="4"/>
      <c r="B42" s="3"/>
      <c r="C42" s="289" t="s">
        <v>116</v>
      </c>
      <c r="D42" s="196"/>
      <c r="E42" s="197"/>
      <c r="F42" s="39"/>
      <c r="G42" s="277" t="e">
        <f t="shared" si="4"/>
        <v>#REF!</v>
      </c>
      <c r="H42" s="226"/>
      <c r="I42" s="226"/>
      <c r="J42" s="226"/>
      <c r="K42" s="227"/>
      <c r="L42" s="93"/>
      <c r="M42" s="283" t="e">
        <f>M28</f>
        <v>#REF!</v>
      </c>
      <c r="N42" s="226"/>
      <c r="O42" s="227"/>
      <c r="P42" s="94" t="e">
        <f t="shared" si="3"/>
        <v>#REF!</v>
      </c>
      <c r="Q42" s="3"/>
      <c r="R42" s="4"/>
      <c r="S42" s="3"/>
      <c r="T42" s="3"/>
      <c r="U42" s="3"/>
      <c r="V42" s="3"/>
      <c r="W42" s="3"/>
      <c r="X42" s="3"/>
      <c r="Y42" s="3"/>
      <c r="Z42" s="3"/>
    </row>
    <row r="43" spans="1:26" ht="12" customHeight="1" x14ac:dyDescent="0.3">
      <c r="A43" s="4"/>
      <c r="B43" s="3"/>
      <c r="C43" s="3"/>
      <c r="D43" s="3"/>
      <c r="E43" s="3"/>
      <c r="F43" s="3"/>
      <c r="G43" s="3"/>
      <c r="H43" s="3"/>
      <c r="I43" s="3"/>
      <c r="J43" s="3"/>
      <c r="K43" s="3"/>
      <c r="L43" s="3"/>
      <c r="M43" s="3"/>
      <c r="N43" s="3"/>
      <c r="O43" s="3"/>
      <c r="P43" s="3"/>
      <c r="Q43" s="3"/>
      <c r="R43" s="4"/>
      <c r="S43" s="3"/>
      <c r="T43" s="3"/>
      <c r="U43" s="3"/>
      <c r="V43" s="3"/>
      <c r="W43" s="3"/>
      <c r="X43" s="3"/>
      <c r="Y43" s="3"/>
      <c r="Z43" s="3"/>
    </row>
    <row r="44" spans="1:26" ht="31.5" customHeight="1" x14ac:dyDescent="0.3">
      <c r="A44" s="4"/>
      <c r="B44" s="3"/>
      <c r="C44" s="104" t="str">
        <f>'3. Dangers'!C32</f>
        <v xml:space="preserve">Epidémies </v>
      </c>
      <c r="D44" s="99"/>
      <c r="E44" s="296"/>
      <c r="F44" s="199"/>
      <c r="G44" s="199"/>
      <c r="H44" s="199"/>
      <c r="I44" s="199"/>
      <c r="J44" s="199"/>
      <c r="K44" s="200"/>
      <c r="L44" s="100"/>
      <c r="M44" s="100"/>
      <c r="N44" s="100"/>
      <c r="O44" s="100"/>
      <c r="P44" s="100"/>
      <c r="Q44" s="3"/>
      <c r="R44" s="4"/>
      <c r="S44" s="3"/>
      <c r="T44" s="3"/>
      <c r="U44" s="3"/>
      <c r="V44" s="3"/>
      <c r="W44" s="3"/>
      <c r="X44" s="3"/>
      <c r="Y44" s="3"/>
      <c r="Z44" s="3"/>
    </row>
    <row r="45" spans="1:26" ht="12" customHeight="1" x14ac:dyDescent="0.3">
      <c r="A45" s="4"/>
      <c r="B45" s="3"/>
      <c r="C45" s="293"/>
      <c r="D45" s="196"/>
      <c r="E45" s="196"/>
      <c r="F45" s="196"/>
      <c r="G45" s="196"/>
      <c r="H45" s="196"/>
      <c r="I45" s="196"/>
      <c r="J45" s="196"/>
      <c r="K45" s="196"/>
      <c r="L45" s="196"/>
      <c r="M45" s="196"/>
      <c r="N45" s="196"/>
      <c r="O45" s="196"/>
      <c r="P45" s="197"/>
      <c r="Q45" s="3"/>
      <c r="R45" s="4"/>
      <c r="S45" s="3"/>
      <c r="T45" s="3"/>
      <c r="U45" s="3"/>
      <c r="V45" s="3"/>
      <c r="W45" s="3"/>
      <c r="X45" s="3"/>
      <c r="Y45" s="3"/>
      <c r="Z45" s="3"/>
    </row>
    <row r="46" spans="1:26" ht="31.5" customHeight="1" x14ac:dyDescent="0.3">
      <c r="A46" s="4"/>
      <c r="B46" s="3"/>
      <c r="C46" s="291" t="s">
        <v>13</v>
      </c>
      <c r="D46" s="196"/>
      <c r="E46" s="197"/>
      <c r="F46" s="29"/>
      <c r="G46" s="287" t="s">
        <v>133</v>
      </c>
      <c r="H46" s="214"/>
      <c r="I46" s="214"/>
      <c r="J46" s="214"/>
      <c r="K46" s="288"/>
      <c r="L46" s="29"/>
      <c r="M46" s="302" t="s">
        <v>130</v>
      </c>
      <c r="N46" s="303"/>
      <c r="O46" s="304"/>
      <c r="P46" s="92" t="s">
        <v>131</v>
      </c>
      <c r="Q46" s="3"/>
      <c r="R46" s="4"/>
      <c r="S46" s="3"/>
      <c r="T46" s="3"/>
      <c r="U46" s="3"/>
      <c r="V46" s="3"/>
      <c r="W46" s="3"/>
      <c r="X46" s="3"/>
      <c r="Y46" s="3"/>
      <c r="Z46" s="3"/>
    </row>
    <row r="47" spans="1:26" ht="49.5" customHeight="1" x14ac:dyDescent="0.3">
      <c r="A47" s="4"/>
      <c r="B47" s="3"/>
      <c r="C47" s="289" t="s">
        <v>15</v>
      </c>
      <c r="D47" s="196"/>
      <c r="E47" s="197"/>
      <c r="F47" s="39"/>
      <c r="G47" s="265" t="s">
        <v>312</v>
      </c>
      <c r="H47" s="226"/>
      <c r="I47" s="226"/>
      <c r="J47" s="226"/>
      <c r="K47" s="227"/>
      <c r="L47" s="93"/>
      <c r="M47" s="280" t="s">
        <v>135</v>
      </c>
      <c r="N47" s="226"/>
      <c r="O47" s="227"/>
      <c r="P47" s="94">
        <f t="shared" ref="P47:P56" si="5">IF(M47="---","",VLOOKUP(M47,$C$60:$D$63,2,FALSE))</f>
        <v>0.67</v>
      </c>
      <c r="Q47" s="3"/>
      <c r="R47" s="4"/>
      <c r="S47" s="3"/>
      <c r="T47" s="3"/>
      <c r="U47" s="3"/>
      <c r="V47" s="3"/>
      <c r="W47" s="3"/>
      <c r="X47" s="3"/>
      <c r="Y47" s="3"/>
      <c r="Z47" s="3"/>
    </row>
    <row r="48" spans="1:26" ht="49.5" customHeight="1" x14ac:dyDescent="0.3">
      <c r="A48" s="4"/>
      <c r="B48" s="3"/>
      <c r="C48" s="290" t="s">
        <v>16</v>
      </c>
      <c r="D48" s="196"/>
      <c r="E48" s="197"/>
      <c r="F48" s="39"/>
      <c r="G48" s="251" t="s">
        <v>313</v>
      </c>
      <c r="H48" s="226"/>
      <c r="I48" s="226"/>
      <c r="J48" s="226"/>
      <c r="K48" s="227"/>
      <c r="L48" s="93"/>
      <c r="M48" s="280" t="s">
        <v>135</v>
      </c>
      <c r="N48" s="226"/>
      <c r="O48" s="227"/>
      <c r="P48" s="94">
        <f t="shared" si="5"/>
        <v>0.67</v>
      </c>
      <c r="Q48" s="3"/>
      <c r="R48" s="4"/>
      <c r="S48" s="3"/>
      <c r="T48" s="3"/>
      <c r="U48" s="3"/>
      <c r="V48" s="3"/>
      <c r="W48" s="3"/>
      <c r="X48" s="3"/>
      <c r="Y48" s="3"/>
      <c r="Z48" s="3"/>
    </row>
    <row r="49" spans="1:26" ht="49.5" customHeight="1" x14ac:dyDescent="0.3">
      <c r="A49" s="4"/>
      <c r="B49" s="3"/>
      <c r="C49" s="289" t="s">
        <v>17</v>
      </c>
      <c r="D49" s="196"/>
      <c r="E49" s="197"/>
      <c r="F49" s="39"/>
      <c r="G49" s="251" t="s">
        <v>314</v>
      </c>
      <c r="H49" s="226"/>
      <c r="I49" s="226"/>
      <c r="J49" s="226"/>
      <c r="K49" s="227"/>
      <c r="L49" s="93"/>
      <c r="M49" s="280" t="s">
        <v>135</v>
      </c>
      <c r="N49" s="226"/>
      <c r="O49" s="227"/>
      <c r="P49" s="94">
        <f t="shared" si="5"/>
        <v>0.67</v>
      </c>
      <c r="Q49" s="3"/>
      <c r="R49" s="4"/>
      <c r="S49" s="3"/>
      <c r="T49" s="3"/>
      <c r="U49" s="3"/>
      <c r="V49" s="3"/>
      <c r="W49" s="3"/>
      <c r="X49" s="3"/>
      <c r="Y49" s="3"/>
      <c r="Z49" s="3"/>
    </row>
    <row r="50" spans="1:26" ht="49.5" customHeight="1" x14ac:dyDescent="0.3">
      <c r="A50" s="4"/>
      <c r="B50" s="3"/>
      <c r="C50" s="290" t="s">
        <v>110</v>
      </c>
      <c r="D50" s="196"/>
      <c r="E50" s="197"/>
      <c r="F50" s="39"/>
      <c r="G50" s="262" t="s">
        <v>319</v>
      </c>
      <c r="H50" s="226"/>
      <c r="I50" s="226"/>
      <c r="J50" s="226"/>
      <c r="K50" s="227"/>
      <c r="L50" s="93"/>
      <c r="M50" s="283" t="s">
        <v>136</v>
      </c>
      <c r="N50" s="226"/>
      <c r="O50" s="227"/>
      <c r="P50" s="94">
        <f t="shared" si="5"/>
        <v>0.33</v>
      </c>
      <c r="Q50" s="3"/>
      <c r="R50" s="4"/>
      <c r="S50" s="3"/>
      <c r="T50" s="3"/>
      <c r="U50" s="3"/>
      <c r="V50" s="3"/>
      <c r="W50" s="3"/>
      <c r="X50" s="3"/>
      <c r="Y50" s="3"/>
      <c r="Z50" s="3"/>
    </row>
    <row r="51" spans="1:26" ht="49.5" customHeight="1" x14ac:dyDescent="0.3">
      <c r="A51" s="4"/>
      <c r="B51" s="3"/>
      <c r="C51" s="289" t="s">
        <v>19</v>
      </c>
      <c r="D51" s="196"/>
      <c r="E51" s="197"/>
      <c r="F51" s="39"/>
      <c r="G51" s="295" t="s">
        <v>318</v>
      </c>
      <c r="H51" s="226"/>
      <c r="I51" s="226"/>
      <c r="J51" s="226"/>
      <c r="K51" s="227"/>
      <c r="L51" s="93"/>
      <c r="M51" s="279" t="s">
        <v>134</v>
      </c>
      <c r="N51" s="226"/>
      <c r="O51" s="227"/>
      <c r="P51" s="94">
        <f t="shared" si="5"/>
        <v>1</v>
      </c>
      <c r="Q51" s="3"/>
      <c r="R51" s="4"/>
      <c r="S51" s="3"/>
      <c r="T51" s="3"/>
      <c r="U51" s="3"/>
      <c r="V51" s="3"/>
      <c r="W51" s="3"/>
      <c r="X51" s="3"/>
      <c r="Y51" s="3"/>
      <c r="Z51" s="3"/>
    </row>
    <row r="52" spans="1:26" ht="49.5" customHeight="1" x14ac:dyDescent="0.3">
      <c r="A52" s="4"/>
      <c r="B52" s="3"/>
      <c r="C52" s="290" t="s">
        <v>112</v>
      </c>
      <c r="D52" s="196"/>
      <c r="E52" s="197"/>
      <c r="F52" s="39"/>
      <c r="G52" s="262" t="s">
        <v>317</v>
      </c>
      <c r="H52" s="226"/>
      <c r="I52" s="226"/>
      <c r="J52" s="226"/>
      <c r="K52" s="227"/>
      <c r="L52" s="93"/>
      <c r="M52" s="283" t="s">
        <v>135</v>
      </c>
      <c r="N52" s="226"/>
      <c r="O52" s="227"/>
      <c r="P52" s="94">
        <f t="shared" si="5"/>
        <v>0.67</v>
      </c>
      <c r="Q52" s="3"/>
      <c r="R52" s="4"/>
      <c r="S52" s="3"/>
      <c r="T52" s="3"/>
      <c r="U52" s="3"/>
      <c r="V52" s="3"/>
      <c r="W52" s="3"/>
      <c r="X52" s="3"/>
      <c r="Y52" s="3"/>
      <c r="Z52" s="3"/>
    </row>
    <row r="53" spans="1:26" ht="49.5" customHeight="1" x14ac:dyDescent="0.3">
      <c r="A53" s="4"/>
      <c r="B53" s="3"/>
      <c r="C53" s="289" t="s">
        <v>113</v>
      </c>
      <c r="D53" s="196"/>
      <c r="E53" s="197"/>
      <c r="F53" s="39"/>
      <c r="G53" s="295" t="s">
        <v>316</v>
      </c>
      <c r="H53" s="226"/>
      <c r="I53" s="226"/>
      <c r="J53" s="226"/>
      <c r="K53" s="227"/>
      <c r="L53" s="93"/>
      <c r="M53" s="279" t="s">
        <v>135</v>
      </c>
      <c r="N53" s="226"/>
      <c r="O53" s="227"/>
      <c r="P53" s="94">
        <f t="shared" si="5"/>
        <v>0.67</v>
      </c>
      <c r="Q53" s="3"/>
      <c r="R53" s="4"/>
      <c r="S53" s="3"/>
      <c r="T53" s="3"/>
      <c r="U53" s="3"/>
      <c r="V53" s="3"/>
      <c r="W53" s="3"/>
      <c r="X53" s="3"/>
      <c r="Y53" s="3"/>
      <c r="Z53" s="3"/>
    </row>
    <row r="54" spans="1:26" ht="49.5" customHeight="1" x14ac:dyDescent="0.3">
      <c r="A54" s="4"/>
      <c r="B54" s="3"/>
      <c r="C54" s="290" t="s">
        <v>114</v>
      </c>
      <c r="D54" s="196"/>
      <c r="E54" s="197"/>
      <c r="F54" s="39"/>
      <c r="G54" s="262" t="s">
        <v>315</v>
      </c>
      <c r="H54" s="226"/>
      <c r="I54" s="226"/>
      <c r="J54" s="226"/>
      <c r="K54" s="227"/>
      <c r="L54" s="93"/>
      <c r="M54" s="283" t="s">
        <v>135</v>
      </c>
      <c r="N54" s="226"/>
      <c r="O54" s="227"/>
      <c r="P54" s="94">
        <f t="shared" si="5"/>
        <v>0.67</v>
      </c>
      <c r="Q54" s="3"/>
      <c r="R54" s="4"/>
      <c r="S54" s="3"/>
      <c r="T54" s="3"/>
      <c r="U54" s="3"/>
      <c r="V54" s="3"/>
      <c r="W54" s="3"/>
      <c r="X54" s="3"/>
      <c r="Y54" s="3"/>
      <c r="Z54" s="3"/>
    </row>
    <row r="55" spans="1:26" ht="49.5" hidden="1" customHeight="1" x14ac:dyDescent="0.3">
      <c r="A55" s="4"/>
      <c r="B55" s="3"/>
      <c r="C55" s="290" t="s">
        <v>115</v>
      </c>
      <c r="D55" s="196"/>
      <c r="E55" s="197"/>
      <c r="F55" s="39"/>
      <c r="G55" s="282" t="e">
        <f t="shared" ref="G55:G56" si="6">G41</f>
        <v>#REF!</v>
      </c>
      <c r="H55" s="226"/>
      <c r="I55" s="226"/>
      <c r="J55" s="226"/>
      <c r="K55" s="227"/>
      <c r="L55" s="93"/>
      <c r="M55" s="281" t="e">
        <f t="shared" ref="M55:M56" si="7">M41</f>
        <v>#REF!</v>
      </c>
      <c r="N55" s="226"/>
      <c r="O55" s="227"/>
      <c r="P55" s="94" t="e">
        <f t="shared" si="5"/>
        <v>#REF!</v>
      </c>
      <c r="Q55" s="3"/>
      <c r="R55" s="4"/>
      <c r="S55" s="3"/>
      <c r="T55" s="3"/>
      <c r="U55" s="3"/>
      <c r="V55" s="3"/>
      <c r="W55" s="3"/>
      <c r="X55" s="3"/>
      <c r="Y55" s="3"/>
      <c r="Z55" s="3"/>
    </row>
    <row r="56" spans="1:26" ht="49.5" hidden="1" customHeight="1" x14ac:dyDescent="0.3">
      <c r="A56" s="4"/>
      <c r="B56" s="3"/>
      <c r="C56" s="289" t="s">
        <v>116</v>
      </c>
      <c r="D56" s="196"/>
      <c r="E56" s="197"/>
      <c r="F56" s="39"/>
      <c r="G56" s="277" t="e">
        <f t="shared" si="6"/>
        <v>#REF!</v>
      </c>
      <c r="H56" s="226"/>
      <c r="I56" s="226"/>
      <c r="J56" s="226"/>
      <c r="K56" s="227"/>
      <c r="L56" s="93"/>
      <c r="M56" s="283" t="e">
        <f t="shared" si="7"/>
        <v>#REF!</v>
      </c>
      <c r="N56" s="226"/>
      <c r="O56" s="227"/>
      <c r="P56" s="94" t="e">
        <f t="shared" si="5"/>
        <v>#REF!</v>
      </c>
      <c r="Q56" s="3"/>
      <c r="R56" s="4"/>
      <c r="S56" s="3"/>
      <c r="T56" s="3"/>
      <c r="U56" s="3"/>
      <c r="V56" s="3"/>
      <c r="W56" s="3"/>
      <c r="X56" s="3"/>
      <c r="Y56" s="3"/>
      <c r="Z56" s="3"/>
    </row>
    <row r="57" spans="1:26" ht="12" customHeight="1" x14ac:dyDescent="0.3">
      <c r="A57" s="4"/>
      <c r="B57" s="3"/>
      <c r="C57" s="3"/>
      <c r="D57" s="3"/>
      <c r="E57" s="3"/>
      <c r="F57" s="3"/>
      <c r="G57" s="3"/>
      <c r="H57" s="3"/>
      <c r="I57" s="3"/>
      <c r="J57" s="3"/>
      <c r="K57" s="3"/>
      <c r="L57" s="3"/>
      <c r="M57" s="3"/>
      <c r="N57" s="3"/>
      <c r="O57" s="3"/>
      <c r="P57" s="3"/>
      <c r="Q57" s="3"/>
      <c r="R57" s="4"/>
      <c r="S57" s="3"/>
      <c r="T57" s="3"/>
      <c r="U57" s="3"/>
      <c r="V57" s="3"/>
      <c r="W57" s="3"/>
      <c r="X57" s="3"/>
      <c r="Y57" s="3"/>
      <c r="Z57" s="3"/>
    </row>
    <row r="58" spans="1:26" ht="12" customHeight="1" x14ac:dyDescent="0.3">
      <c r="A58" s="4"/>
      <c r="B58" s="4"/>
      <c r="C58" s="4"/>
      <c r="D58" s="4"/>
      <c r="E58" s="4"/>
      <c r="F58" s="4"/>
      <c r="G58" s="4"/>
      <c r="H58" s="4"/>
      <c r="I58" s="4"/>
      <c r="J58" s="4"/>
      <c r="K58" s="4"/>
      <c r="L58" s="4"/>
      <c r="M58" s="4"/>
      <c r="N58" s="4"/>
      <c r="O58" s="4"/>
      <c r="P58" s="4"/>
      <c r="Q58" s="4"/>
      <c r="R58" s="4"/>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t="s">
        <v>134</v>
      </c>
      <c r="D60" s="102">
        <v>1</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t="s">
        <v>135</v>
      </c>
      <c r="D61" s="102">
        <v>0.67</v>
      </c>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t="s">
        <v>136</v>
      </c>
      <c r="D62" s="102">
        <v>0.33</v>
      </c>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t="s">
        <v>137</v>
      </c>
      <c r="D63" s="102">
        <v>0</v>
      </c>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103" t="s">
        <v>120</v>
      </c>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14">
    <mergeCell ref="A1:R1"/>
    <mergeCell ref="A4:C6"/>
    <mergeCell ref="E5:I5"/>
    <mergeCell ref="K5:L5"/>
    <mergeCell ref="M5:P5"/>
    <mergeCell ref="A8:R8"/>
    <mergeCell ref="C10:P10"/>
    <mergeCell ref="C12:P12"/>
    <mergeCell ref="C14:P14"/>
    <mergeCell ref="E16:K16"/>
    <mergeCell ref="C17:P17"/>
    <mergeCell ref="C18:E18"/>
    <mergeCell ref="M18:O18"/>
    <mergeCell ref="M19:O19"/>
    <mergeCell ref="G18:K18"/>
    <mergeCell ref="G19:K19"/>
    <mergeCell ref="G20:K20"/>
    <mergeCell ref="M20:O20"/>
    <mergeCell ref="M32:O32"/>
    <mergeCell ref="G21:K21"/>
    <mergeCell ref="M21:O21"/>
    <mergeCell ref="M22:O22"/>
    <mergeCell ref="M25:O25"/>
    <mergeCell ref="M26:O26"/>
    <mergeCell ref="C26:E26"/>
    <mergeCell ref="C27:E27"/>
    <mergeCell ref="C28:E28"/>
    <mergeCell ref="C32:E32"/>
    <mergeCell ref="M23:O23"/>
    <mergeCell ref="M24:O24"/>
    <mergeCell ref="M27:O27"/>
    <mergeCell ref="M28:O28"/>
    <mergeCell ref="G32:K32"/>
    <mergeCell ref="C46:E46"/>
    <mergeCell ref="C47:E47"/>
    <mergeCell ref="G47:K47"/>
    <mergeCell ref="M47:O47"/>
    <mergeCell ref="C48:E48"/>
    <mergeCell ref="M48:O48"/>
    <mergeCell ref="M49:O49"/>
    <mergeCell ref="C33:E33"/>
    <mergeCell ref="C19:E19"/>
    <mergeCell ref="C20:E20"/>
    <mergeCell ref="C21:E21"/>
    <mergeCell ref="C22:E22"/>
    <mergeCell ref="C23:E23"/>
    <mergeCell ref="C24:E24"/>
    <mergeCell ref="C25:E25"/>
    <mergeCell ref="G22:K22"/>
    <mergeCell ref="G23:K23"/>
    <mergeCell ref="G24:K24"/>
    <mergeCell ref="G25:K25"/>
    <mergeCell ref="G26:K26"/>
    <mergeCell ref="G27:K27"/>
    <mergeCell ref="G28:K28"/>
    <mergeCell ref="E30:K30"/>
    <mergeCell ref="C31:P31"/>
    <mergeCell ref="G33:K33"/>
    <mergeCell ref="M33:O33"/>
    <mergeCell ref="G54:K54"/>
    <mergeCell ref="G55:K55"/>
    <mergeCell ref="C52:E52"/>
    <mergeCell ref="C53:E53"/>
    <mergeCell ref="G53:K53"/>
    <mergeCell ref="M53:O53"/>
    <mergeCell ref="C54:E54"/>
    <mergeCell ref="M54:O54"/>
    <mergeCell ref="M55:O55"/>
    <mergeCell ref="C55:E55"/>
    <mergeCell ref="G51:K51"/>
    <mergeCell ref="G52:K52"/>
    <mergeCell ref="C49:E49"/>
    <mergeCell ref="C50:E50"/>
    <mergeCell ref="G50:K50"/>
    <mergeCell ref="M50:O50"/>
    <mergeCell ref="C51:E51"/>
    <mergeCell ref="M51:O51"/>
    <mergeCell ref="M52:O52"/>
    <mergeCell ref="G48:K48"/>
    <mergeCell ref="G49:K49"/>
    <mergeCell ref="C41:E41"/>
    <mergeCell ref="C42:E42"/>
    <mergeCell ref="M34:O34"/>
    <mergeCell ref="M35:O35"/>
    <mergeCell ref="M37:O37"/>
    <mergeCell ref="M38:O38"/>
    <mergeCell ref="M39:O39"/>
    <mergeCell ref="M40:O40"/>
    <mergeCell ref="M41:O41"/>
    <mergeCell ref="M42:O42"/>
    <mergeCell ref="C56:E56"/>
    <mergeCell ref="G56:K56"/>
    <mergeCell ref="M56:O56"/>
    <mergeCell ref="C34:E34"/>
    <mergeCell ref="G34:K34"/>
    <mergeCell ref="C35:E35"/>
    <mergeCell ref="M36:O36"/>
    <mergeCell ref="G42:K42"/>
    <mergeCell ref="E44:K44"/>
    <mergeCell ref="C45:P45"/>
    <mergeCell ref="G46:K46"/>
    <mergeCell ref="M46:O46"/>
    <mergeCell ref="G35:K35"/>
    <mergeCell ref="G36:K36"/>
    <mergeCell ref="G37:K37"/>
    <mergeCell ref="G38:K38"/>
    <mergeCell ref="G39:K39"/>
    <mergeCell ref="G40:K40"/>
    <mergeCell ref="G41:K41"/>
    <mergeCell ref="C36:E36"/>
    <mergeCell ref="C37:E37"/>
    <mergeCell ref="C38:E38"/>
    <mergeCell ref="C39:E39"/>
    <mergeCell ref="C40:E40"/>
  </mergeCells>
  <conditionalFormatting sqref="P19:P28 P33:P42 P47:P56">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19:M28 M33:M42 M47:M56" xr:uid="{00000000-0002-0000-0500-000000000000}">
      <formula1>$C$60:$C$64</formula1>
    </dataValidation>
  </dataValidations>
  <pageMargins left="0.25" right="0.25" top="0.75" bottom="0.75" header="0" footer="0"/>
  <pageSetup paperSize="9" orientation="portrait" r:id="rId1"/>
  <headerFooter>
    <oddFooter>&amp;L000000_x000D_#000000Public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election activeCell="G18" sqref="G18:R18"/>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201" t="s">
        <v>138</v>
      </c>
      <c r="B1" s="199"/>
      <c r="C1" s="199"/>
      <c r="D1" s="199"/>
      <c r="E1" s="199"/>
      <c r="F1" s="199"/>
      <c r="G1" s="199"/>
      <c r="H1" s="199"/>
      <c r="I1" s="199"/>
      <c r="J1" s="199"/>
      <c r="K1" s="199"/>
      <c r="L1" s="199"/>
      <c r="M1" s="199"/>
      <c r="N1" s="199"/>
      <c r="O1" s="199"/>
      <c r="P1" s="199"/>
      <c r="Q1" s="199"/>
      <c r="R1" s="199"/>
      <c r="S1" s="199"/>
      <c r="T1" s="199"/>
      <c r="U1" s="199"/>
      <c r="V1" s="200"/>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3" t="s">
        <v>2</v>
      </c>
      <c r="B4" s="204"/>
      <c r="C4" s="205"/>
      <c r="D4" s="6"/>
      <c r="E4" s="7"/>
      <c r="F4" s="7"/>
      <c r="G4" s="7"/>
      <c r="H4" s="7"/>
      <c r="I4" s="7"/>
      <c r="J4" s="7"/>
      <c r="K4" s="7"/>
      <c r="L4" s="7"/>
      <c r="M4" s="7"/>
      <c r="N4" s="7"/>
      <c r="O4" s="7"/>
      <c r="P4" s="7"/>
      <c r="Q4" s="7"/>
      <c r="R4" s="7"/>
      <c r="S4" s="7"/>
      <c r="T4" s="7"/>
      <c r="U4" s="7"/>
      <c r="V4" s="7"/>
      <c r="W4" s="3"/>
      <c r="X4" s="3"/>
      <c r="Y4" s="3"/>
      <c r="Z4" s="3"/>
    </row>
    <row r="5" spans="1:26" ht="31.5" customHeight="1" x14ac:dyDescent="0.3">
      <c r="A5" s="206"/>
      <c r="B5" s="207"/>
      <c r="C5" s="208"/>
      <c r="D5" s="6"/>
      <c r="E5" s="300" t="str">
        <f>'1. Résumé'!E6</f>
        <v>FKT 04/18_Tanambao</v>
      </c>
      <c r="F5" s="199"/>
      <c r="G5" s="199"/>
      <c r="H5" s="199"/>
      <c r="I5" s="200"/>
      <c r="J5" s="7"/>
      <c r="K5" s="260" t="str">
        <f>'1. Résumé'!G8</f>
        <v>Pays : Madagascar</v>
      </c>
      <c r="L5" s="199"/>
      <c r="M5" s="199"/>
      <c r="N5" s="199"/>
      <c r="O5" s="200"/>
      <c r="P5" s="7"/>
      <c r="Q5" s="7"/>
      <c r="R5" s="260" t="str">
        <f>'1. Résumé'!E10</f>
        <v>Société nationale : Croix-Rouge Malagasy</v>
      </c>
      <c r="S5" s="199"/>
      <c r="T5" s="200"/>
      <c r="U5" s="7"/>
      <c r="V5" s="7"/>
      <c r="W5" s="3"/>
      <c r="X5" s="3"/>
      <c r="Y5" s="3"/>
      <c r="Z5" s="3"/>
    </row>
    <row r="6" spans="1:26" ht="9.75" customHeight="1" x14ac:dyDescent="0.3">
      <c r="A6" s="209"/>
      <c r="B6" s="210"/>
      <c r="C6" s="211"/>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4" t="s">
        <v>139</v>
      </c>
      <c r="B8" s="199"/>
      <c r="C8" s="199"/>
      <c r="D8" s="199"/>
      <c r="E8" s="199"/>
      <c r="F8" s="199"/>
      <c r="G8" s="199"/>
      <c r="H8" s="199"/>
      <c r="I8" s="199"/>
      <c r="J8" s="199"/>
      <c r="K8" s="199"/>
      <c r="L8" s="199"/>
      <c r="M8" s="199"/>
      <c r="N8" s="199"/>
      <c r="O8" s="199"/>
      <c r="P8" s="199"/>
      <c r="Q8" s="199"/>
      <c r="R8" s="199"/>
      <c r="S8" s="199"/>
      <c r="T8" s="199"/>
      <c r="U8" s="199"/>
      <c r="V8" s="200"/>
      <c r="W8" s="3"/>
      <c r="X8" s="3"/>
      <c r="Y8" s="3"/>
      <c r="Z8" s="3" t="s">
        <v>9</v>
      </c>
    </row>
    <row r="9" spans="1:26" ht="9.75" customHeight="1" x14ac:dyDescent="0.3">
      <c r="A9" s="68"/>
      <c r="B9" s="69"/>
      <c r="C9" s="69"/>
      <c r="D9" s="69"/>
      <c r="E9" s="69"/>
      <c r="F9" s="69"/>
      <c r="G9" s="69"/>
      <c r="H9" s="69"/>
      <c r="I9" s="69"/>
      <c r="J9" s="69"/>
      <c r="K9" s="69"/>
      <c r="L9" s="69"/>
      <c r="M9" s="69"/>
      <c r="N9" s="69"/>
      <c r="O9" s="69"/>
      <c r="P9" s="69"/>
      <c r="Q9" s="69"/>
      <c r="R9" s="69"/>
      <c r="S9" s="69"/>
      <c r="T9" s="69"/>
      <c r="U9" s="69"/>
      <c r="V9" s="68"/>
      <c r="W9" s="3"/>
      <c r="X9" s="3"/>
      <c r="Y9" s="3"/>
      <c r="Z9" s="3"/>
    </row>
    <row r="10" spans="1:26" ht="19.5" customHeight="1" x14ac:dyDescent="0.3">
      <c r="A10" s="4"/>
      <c r="B10" s="3"/>
      <c r="C10" s="212" t="s">
        <v>140</v>
      </c>
      <c r="D10" s="199"/>
      <c r="E10" s="199"/>
      <c r="F10" s="199"/>
      <c r="G10" s="199"/>
      <c r="H10" s="199"/>
      <c r="I10" s="199"/>
      <c r="J10" s="199"/>
      <c r="K10" s="199"/>
      <c r="L10" s="199"/>
      <c r="M10" s="199"/>
      <c r="N10" s="199"/>
      <c r="O10" s="199"/>
      <c r="P10" s="199"/>
      <c r="Q10" s="199"/>
      <c r="R10" s="199"/>
      <c r="S10" s="199"/>
      <c r="T10" s="200"/>
      <c r="U10" s="3"/>
      <c r="V10" s="4"/>
      <c r="W10" s="3"/>
      <c r="X10" s="3"/>
      <c r="Y10" s="3"/>
      <c r="Z10" s="3"/>
    </row>
    <row r="11" spans="1:26" ht="9.75" customHeight="1" x14ac:dyDescent="0.3">
      <c r="A11" s="4"/>
      <c r="B11" s="3"/>
      <c r="C11" s="3" t="s">
        <v>9</v>
      </c>
      <c r="D11" s="3"/>
      <c r="E11" s="3"/>
      <c r="F11" s="3"/>
      <c r="G11" s="3"/>
      <c r="H11" s="3" t="s">
        <v>9</v>
      </c>
      <c r="I11" s="3"/>
      <c r="J11" s="3"/>
      <c r="K11" s="3"/>
      <c r="L11" s="3"/>
      <c r="M11" s="3"/>
      <c r="N11" s="3"/>
      <c r="O11" s="3"/>
      <c r="P11" s="3"/>
      <c r="Q11" s="3"/>
      <c r="R11" s="3"/>
      <c r="S11" s="3"/>
      <c r="T11" s="3"/>
      <c r="U11" s="3"/>
      <c r="V11" s="4"/>
      <c r="W11" s="3"/>
      <c r="X11" s="3"/>
      <c r="Y11" s="3"/>
      <c r="Z11" s="3"/>
    </row>
    <row r="12" spans="1:26" ht="72.75" customHeight="1" x14ac:dyDescent="0.3">
      <c r="A12" s="4"/>
      <c r="B12" s="3"/>
      <c r="C12" s="306" t="s">
        <v>207</v>
      </c>
      <c r="D12" s="307"/>
      <c r="E12" s="307"/>
      <c r="F12" s="307"/>
      <c r="G12" s="307"/>
      <c r="H12" s="307"/>
      <c r="I12" s="307"/>
      <c r="J12" s="307"/>
      <c r="K12" s="307"/>
      <c r="L12" s="307"/>
      <c r="M12" s="307"/>
      <c r="N12" s="307"/>
      <c r="O12" s="307"/>
      <c r="P12" s="307"/>
      <c r="Q12" s="307"/>
      <c r="R12" s="307"/>
      <c r="S12" s="307"/>
      <c r="T12" s="253"/>
      <c r="U12" s="3"/>
      <c r="V12" s="4"/>
      <c r="W12" s="3"/>
      <c r="X12" s="3"/>
      <c r="Y12" s="3"/>
      <c r="Z12" s="3"/>
    </row>
    <row r="13" spans="1:26" ht="12" customHeight="1" x14ac:dyDescent="0.3">
      <c r="A13" s="4"/>
      <c r="B13" s="3"/>
      <c r="C13" s="85"/>
      <c r="D13" s="85"/>
      <c r="E13" s="85"/>
      <c r="F13" s="85"/>
      <c r="G13" s="85"/>
      <c r="H13" s="85"/>
      <c r="I13" s="85"/>
      <c r="J13" s="85"/>
      <c r="K13" s="85"/>
      <c r="L13" s="85"/>
      <c r="M13" s="85"/>
      <c r="N13" s="85"/>
      <c r="O13" s="85"/>
      <c r="P13" s="85"/>
      <c r="Q13" s="85"/>
      <c r="R13" s="85"/>
      <c r="S13" s="85"/>
      <c r="T13" s="85"/>
      <c r="U13" s="3"/>
      <c r="V13" s="4"/>
      <c r="W13" s="3"/>
      <c r="X13" s="3"/>
      <c r="Y13" s="3"/>
      <c r="Z13" s="3"/>
    </row>
    <row r="14" spans="1:26" ht="30.75" customHeight="1" x14ac:dyDescent="0.3">
      <c r="A14" s="4"/>
      <c r="B14" s="3"/>
      <c r="C14" s="308" t="s">
        <v>141</v>
      </c>
      <c r="D14" s="199"/>
      <c r="E14" s="199"/>
      <c r="F14" s="199"/>
      <c r="G14" s="199"/>
      <c r="H14" s="199"/>
      <c r="I14" s="199"/>
      <c r="J14" s="199"/>
      <c r="K14" s="199"/>
      <c r="L14" s="199"/>
      <c r="M14" s="199"/>
      <c r="N14" s="199"/>
      <c r="O14" s="199"/>
      <c r="P14" s="199"/>
      <c r="Q14" s="199"/>
      <c r="R14" s="199"/>
      <c r="S14" s="199"/>
      <c r="T14" s="200"/>
      <c r="U14" s="3"/>
      <c r="V14" s="4"/>
      <c r="W14" s="3"/>
      <c r="X14" s="3"/>
      <c r="Y14" s="3"/>
      <c r="Z14" s="3"/>
    </row>
    <row r="15" spans="1:26" ht="12" customHeight="1" x14ac:dyDescent="0.3">
      <c r="A15" s="4"/>
      <c r="B15" s="3"/>
      <c r="C15" s="212" t="s">
        <v>142</v>
      </c>
      <c r="D15" s="199"/>
      <c r="E15" s="199"/>
      <c r="F15" s="199"/>
      <c r="G15" s="199"/>
      <c r="H15" s="199"/>
      <c r="I15" s="199"/>
      <c r="J15" s="199"/>
      <c r="K15" s="199"/>
      <c r="L15" s="199"/>
      <c r="M15" s="199"/>
      <c r="N15" s="199"/>
      <c r="O15" s="199"/>
      <c r="P15" s="199"/>
      <c r="Q15" s="199"/>
      <c r="R15" s="199"/>
      <c r="S15" s="199"/>
      <c r="T15" s="200"/>
      <c r="U15" s="3"/>
      <c r="V15" s="4"/>
      <c r="W15" s="3"/>
      <c r="X15" s="3"/>
      <c r="Y15" s="3"/>
      <c r="Z15" s="3"/>
    </row>
    <row r="16" spans="1:26" ht="48" customHeight="1" x14ac:dyDescent="0.3">
      <c r="A16" s="4"/>
      <c r="B16" s="3"/>
      <c r="C16" s="290" t="s">
        <v>143</v>
      </c>
      <c r="D16" s="196"/>
      <c r="E16" s="197"/>
      <c r="F16" s="39"/>
      <c r="G16" s="231" t="s">
        <v>324</v>
      </c>
      <c r="H16" s="252"/>
      <c r="I16" s="252"/>
      <c r="J16" s="252"/>
      <c r="K16" s="252"/>
      <c r="L16" s="252"/>
      <c r="M16" s="252"/>
      <c r="N16" s="252"/>
      <c r="O16" s="252"/>
      <c r="P16" s="252"/>
      <c r="Q16" s="252"/>
      <c r="R16" s="305"/>
      <c r="S16" s="105" t="s">
        <v>146</v>
      </c>
      <c r="T16" s="94">
        <f t="shared" ref="T16:T18" si="0">IF(S16="---","",VLOOKUP(S16,$C$22:$D$25,2,FALSE))</f>
        <v>0.67</v>
      </c>
      <c r="U16" s="3"/>
      <c r="V16" s="4"/>
      <c r="W16" s="3"/>
      <c r="X16" s="3"/>
      <c r="Y16" s="3"/>
      <c r="Z16" s="3"/>
    </row>
    <row r="17" spans="1:26" ht="48" customHeight="1" x14ac:dyDescent="0.3">
      <c r="A17" s="4"/>
      <c r="B17" s="3"/>
      <c r="C17" s="106" t="s">
        <v>145</v>
      </c>
      <c r="D17" s="107"/>
      <c r="E17" s="108"/>
      <c r="F17" s="39"/>
      <c r="G17" s="109" t="s">
        <v>323</v>
      </c>
      <c r="H17" s="110"/>
      <c r="I17" s="110"/>
      <c r="J17" s="110"/>
      <c r="K17" s="110"/>
      <c r="L17" s="110"/>
      <c r="M17" s="110"/>
      <c r="N17" s="110"/>
      <c r="O17" s="110"/>
      <c r="P17" s="110"/>
      <c r="Q17" s="110"/>
      <c r="R17" s="110"/>
      <c r="S17" s="111" t="s">
        <v>146</v>
      </c>
      <c r="T17" s="94">
        <f t="shared" si="0"/>
        <v>0.67</v>
      </c>
      <c r="U17" s="3"/>
      <c r="V17" s="4"/>
      <c r="W17" s="3"/>
      <c r="X17" s="3"/>
      <c r="Y17" s="3"/>
      <c r="Z17" s="3"/>
    </row>
    <row r="18" spans="1:26" ht="45" customHeight="1" x14ac:dyDescent="0.3">
      <c r="A18" s="4"/>
      <c r="B18" s="3"/>
      <c r="C18" s="290" t="s">
        <v>147</v>
      </c>
      <c r="D18" s="196"/>
      <c r="E18" s="197"/>
      <c r="F18" s="39"/>
      <c r="G18" s="231" t="s">
        <v>325</v>
      </c>
      <c r="H18" s="252"/>
      <c r="I18" s="252"/>
      <c r="J18" s="252"/>
      <c r="K18" s="252"/>
      <c r="L18" s="252"/>
      <c r="M18" s="252"/>
      <c r="N18" s="252"/>
      <c r="O18" s="252"/>
      <c r="P18" s="252"/>
      <c r="Q18" s="252"/>
      <c r="R18" s="305"/>
      <c r="S18" s="105" t="s">
        <v>148</v>
      </c>
      <c r="T18" s="94">
        <f t="shared" si="0"/>
        <v>0.33</v>
      </c>
      <c r="U18" s="3"/>
      <c r="V18" s="4"/>
      <c r="W18" s="3"/>
      <c r="X18" s="3"/>
      <c r="Y18" s="3"/>
      <c r="Z18" s="3"/>
    </row>
    <row r="19" spans="1:26" ht="17.25" customHeight="1" x14ac:dyDescent="0.3">
      <c r="A19" s="4"/>
      <c r="B19" s="3"/>
      <c r="C19" s="112"/>
      <c r="D19" s="112"/>
      <c r="E19" s="112"/>
      <c r="F19" s="3"/>
      <c r="G19" s="113"/>
      <c r="H19" s="113"/>
      <c r="I19" s="113"/>
      <c r="J19" s="113"/>
      <c r="K19" s="113"/>
      <c r="L19" s="113"/>
      <c r="M19" s="113"/>
      <c r="N19" s="113"/>
      <c r="O19" s="113"/>
      <c r="P19" s="113"/>
      <c r="Q19" s="113"/>
      <c r="R19" s="113"/>
      <c r="S19" s="3"/>
      <c r="T19" s="3"/>
      <c r="U19" s="3"/>
      <c r="V19" s="4"/>
      <c r="W19" s="3"/>
      <c r="X19" s="3"/>
      <c r="Y19" s="3"/>
      <c r="Z19" s="3"/>
    </row>
    <row r="20" spans="1:26" ht="10.5" customHeight="1" x14ac:dyDescent="0.3">
      <c r="A20" s="4"/>
      <c r="B20" s="3"/>
      <c r="C20" s="112"/>
      <c r="D20" s="112"/>
      <c r="E20" s="112"/>
      <c r="F20" s="3"/>
      <c r="G20" s="113"/>
      <c r="H20" s="113"/>
      <c r="I20" s="113"/>
      <c r="J20" s="113"/>
      <c r="K20" s="113"/>
      <c r="L20" s="3"/>
      <c r="M20" s="113"/>
      <c r="N20" s="113"/>
      <c r="O20" s="113"/>
      <c r="P20" s="113"/>
      <c r="Q20" s="113"/>
      <c r="R20" s="113"/>
      <c r="S20" s="3"/>
      <c r="T20" s="3"/>
      <c r="U20" s="3"/>
      <c r="V20" s="4"/>
      <c r="W20" s="3"/>
      <c r="X20" s="3"/>
      <c r="Y20" s="3"/>
      <c r="Z20" s="3"/>
    </row>
    <row r="21" spans="1:26" ht="18" customHeight="1" x14ac:dyDescent="0.3">
      <c r="A21" s="4"/>
      <c r="B21" s="274"/>
      <c r="C21" s="199"/>
      <c r="D21" s="199"/>
      <c r="E21" s="199"/>
      <c r="F21" s="199"/>
      <c r="G21" s="199"/>
      <c r="H21" s="199"/>
      <c r="I21" s="199"/>
      <c r="J21" s="199"/>
      <c r="K21" s="199"/>
      <c r="L21" s="199"/>
      <c r="M21" s="199"/>
      <c r="N21" s="199"/>
      <c r="O21" s="199"/>
      <c r="P21" s="199"/>
      <c r="Q21" s="199"/>
      <c r="R21" s="199"/>
      <c r="S21" s="199"/>
      <c r="T21" s="199"/>
      <c r="U21" s="200"/>
      <c r="V21" s="4"/>
      <c r="W21" s="3"/>
      <c r="X21" s="3"/>
      <c r="Y21" s="3"/>
      <c r="Z21" s="3"/>
    </row>
    <row r="22" spans="1:26" ht="12" customHeight="1" x14ac:dyDescent="0.3">
      <c r="A22" s="3"/>
      <c r="B22" s="3"/>
      <c r="C22" s="3" t="s">
        <v>144</v>
      </c>
      <c r="D22" s="102">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146</v>
      </c>
      <c r="D23" s="102">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148</v>
      </c>
      <c r="D24" s="102">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102"/>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14"/>
      <c r="D26" s="114"/>
      <c r="E26" s="114"/>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14"/>
      <c r="D27" s="114"/>
      <c r="E27" s="114"/>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showGridLines="0" workbookViewId="0">
      <selection activeCell="M23" sqref="M23:O23"/>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80" customWidth="1"/>
    <col min="9" max="9" width="1.69921875" customWidth="1"/>
    <col min="10" max="10" width="14.69921875" style="180"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201" t="s">
        <v>149</v>
      </c>
      <c r="B1" s="199"/>
      <c r="C1" s="199"/>
      <c r="D1" s="199"/>
      <c r="E1" s="199"/>
      <c r="F1" s="199"/>
      <c r="G1" s="199"/>
      <c r="H1" s="199"/>
      <c r="I1" s="199"/>
      <c r="J1" s="199"/>
      <c r="K1" s="199"/>
      <c r="L1" s="199"/>
      <c r="M1" s="199"/>
      <c r="N1" s="199"/>
      <c r="O1" s="199"/>
      <c r="P1" s="199"/>
      <c r="Q1" s="200"/>
      <c r="R1" s="1"/>
      <c r="S1" s="1"/>
      <c r="T1" s="1"/>
      <c r="U1" s="1"/>
      <c r="V1" s="1"/>
      <c r="W1" s="1"/>
      <c r="X1" s="1"/>
      <c r="Y1" s="1"/>
      <c r="Z1" s="1"/>
      <c r="AA1" s="1"/>
      <c r="AB1" s="1"/>
      <c r="AC1" s="1"/>
      <c r="AD1" s="1"/>
      <c r="AE1" s="1"/>
      <c r="AF1" s="1"/>
    </row>
    <row r="2" spans="1:32" ht="9.75" customHeight="1" x14ac:dyDescent="0.4">
      <c r="A2" s="2"/>
      <c r="B2" s="2"/>
      <c r="C2" s="2"/>
      <c r="D2" s="2"/>
      <c r="E2" s="2"/>
      <c r="F2" s="2"/>
      <c r="G2" s="2"/>
      <c r="H2" s="173"/>
      <c r="I2" s="2"/>
      <c r="J2" s="173"/>
      <c r="K2" s="2"/>
      <c r="L2" s="2"/>
      <c r="M2" s="2"/>
      <c r="N2" s="2"/>
      <c r="O2" s="2"/>
      <c r="P2" s="2"/>
      <c r="Q2" s="2"/>
      <c r="R2" s="1"/>
      <c r="S2" s="318"/>
      <c r="T2" s="207"/>
      <c r="U2" s="207"/>
      <c r="V2" s="207"/>
      <c r="W2" s="207"/>
      <c r="X2" s="207"/>
      <c r="Y2" s="207"/>
      <c r="Z2" s="207"/>
      <c r="AA2" s="207"/>
      <c r="AB2" s="207"/>
      <c r="AC2" s="1"/>
      <c r="AD2" s="1"/>
      <c r="AE2" s="1"/>
      <c r="AF2" s="1"/>
    </row>
    <row r="3" spans="1:32" ht="12" customHeight="1" x14ac:dyDescent="0.3">
      <c r="A3" s="3"/>
      <c r="B3" s="3"/>
      <c r="C3" s="3"/>
      <c r="D3" s="3"/>
      <c r="E3" s="3"/>
      <c r="F3" s="3"/>
      <c r="G3" s="3"/>
      <c r="H3" s="81"/>
      <c r="I3" s="3"/>
      <c r="J3" s="81"/>
      <c r="K3" s="3"/>
      <c r="L3" s="3"/>
      <c r="M3" s="3"/>
      <c r="N3" s="3"/>
      <c r="O3" s="3"/>
      <c r="P3" s="3"/>
      <c r="Q3" s="3"/>
      <c r="R3" s="3"/>
      <c r="S3" s="3"/>
      <c r="T3" s="3"/>
      <c r="U3" s="3"/>
      <c r="V3" s="3"/>
      <c r="W3" s="3"/>
      <c r="X3" s="3"/>
      <c r="Y3" s="3"/>
      <c r="Z3" s="3"/>
      <c r="AA3" s="3"/>
      <c r="AB3" s="3"/>
      <c r="AC3" s="3"/>
      <c r="AD3" s="3"/>
      <c r="AE3" s="3"/>
      <c r="AF3" s="3"/>
    </row>
    <row r="4" spans="1:32" ht="9.75" customHeight="1" x14ac:dyDescent="0.3">
      <c r="A4" s="203" t="s">
        <v>2</v>
      </c>
      <c r="B4" s="204"/>
      <c r="C4" s="205"/>
      <c r="D4" s="6"/>
      <c r="E4" s="7"/>
      <c r="F4" s="7"/>
      <c r="G4" s="7"/>
      <c r="H4" s="174"/>
      <c r="I4" s="7"/>
      <c r="J4" s="174"/>
      <c r="K4" s="7"/>
      <c r="L4" s="7"/>
      <c r="M4" s="7"/>
      <c r="N4" s="7"/>
      <c r="O4" s="7"/>
      <c r="P4" s="7"/>
      <c r="Q4" s="7"/>
      <c r="R4" s="3"/>
      <c r="S4" s="266"/>
      <c r="T4" s="207"/>
      <c r="U4" s="207"/>
      <c r="V4" s="28"/>
      <c r="W4" s="319"/>
      <c r="X4" s="207"/>
      <c r="Y4" s="207"/>
      <c r="Z4" s="207"/>
      <c r="AA4" s="207"/>
      <c r="AB4" s="207"/>
      <c r="AC4" s="3"/>
      <c r="AD4" s="3"/>
      <c r="AE4" s="3"/>
      <c r="AF4" s="3"/>
    </row>
    <row r="5" spans="1:32" ht="31.5" customHeight="1" x14ac:dyDescent="0.3">
      <c r="A5" s="206"/>
      <c r="B5" s="207"/>
      <c r="C5" s="208"/>
      <c r="D5" s="6"/>
      <c r="E5" s="320" t="str">
        <f>'1. Résumé'!E6</f>
        <v>FKT 04/18_Tanambao</v>
      </c>
      <c r="F5" s="199"/>
      <c r="G5" s="199"/>
      <c r="H5" s="200"/>
      <c r="I5" s="115"/>
      <c r="J5" s="260"/>
      <c r="K5" s="199"/>
      <c r="L5" s="199"/>
      <c r="M5" s="199"/>
      <c r="N5" s="199"/>
      <c r="O5" s="200"/>
      <c r="P5" s="7"/>
      <c r="Q5" s="7"/>
      <c r="R5" s="3"/>
      <c r="S5" s="313"/>
      <c r="T5" s="207"/>
      <c r="U5" s="207"/>
      <c r="V5" s="116"/>
      <c r="W5" s="207"/>
      <c r="X5" s="207"/>
      <c r="Y5" s="207"/>
      <c r="Z5" s="207"/>
      <c r="AA5" s="207"/>
      <c r="AB5" s="207"/>
      <c r="AC5" s="3"/>
      <c r="AD5" s="3"/>
      <c r="AE5" s="3"/>
      <c r="AF5" s="3"/>
    </row>
    <row r="6" spans="1:32" ht="9.75" customHeight="1" x14ac:dyDescent="0.3">
      <c r="A6" s="209"/>
      <c r="B6" s="210"/>
      <c r="C6" s="211"/>
      <c r="D6" s="6"/>
      <c r="E6" s="10"/>
      <c r="F6" s="7"/>
      <c r="G6" s="7"/>
      <c r="H6" s="174"/>
      <c r="I6" s="7"/>
      <c r="J6" s="174"/>
      <c r="K6" s="7"/>
      <c r="L6" s="7"/>
      <c r="M6" s="7"/>
      <c r="N6" s="7"/>
      <c r="O6" s="7"/>
      <c r="P6" s="7"/>
      <c r="Q6" s="7"/>
      <c r="R6" s="3"/>
      <c r="S6" s="207"/>
      <c r="T6" s="207"/>
      <c r="U6" s="207"/>
      <c r="V6" s="116"/>
      <c r="W6" s="314"/>
      <c r="X6" s="207"/>
      <c r="Y6" s="315"/>
      <c r="Z6" s="207"/>
      <c r="AA6" s="207"/>
      <c r="AB6" s="207"/>
      <c r="AC6" s="3"/>
      <c r="AD6" s="3"/>
      <c r="AE6" s="3"/>
      <c r="AF6" s="3"/>
    </row>
    <row r="7" spans="1:32" ht="19.5" customHeight="1" x14ac:dyDescent="0.3">
      <c r="A7" s="3"/>
      <c r="B7" s="3"/>
      <c r="C7" s="3"/>
      <c r="D7" s="3"/>
      <c r="E7" s="3"/>
      <c r="F7" s="3"/>
      <c r="G7" s="3" t="s">
        <v>9</v>
      </c>
      <c r="H7" s="81"/>
      <c r="I7" s="3"/>
      <c r="J7" s="81"/>
      <c r="K7" s="3"/>
      <c r="L7" s="3"/>
      <c r="M7" s="3"/>
      <c r="N7" s="3"/>
      <c r="O7" s="3"/>
      <c r="P7" s="3"/>
      <c r="Q7" s="3"/>
      <c r="R7" s="3"/>
      <c r="S7" s="207"/>
      <c r="T7" s="207"/>
      <c r="U7" s="207"/>
      <c r="V7" s="116"/>
      <c r="W7" s="207"/>
      <c r="X7" s="207"/>
      <c r="Y7" s="81"/>
      <c r="Z7" s="81"/>
      <c r="AA7" s="81"/>
      <c r="AB7" s="81"/>
      <c r="AC7" s="3"/>
      <c r="AD7" s="3"/>
      <c r="AE7" s="3"/>
      <c r="AF7" s="3"/>
    </row>
    <row r="8" spans="1:32" ht="39.75" customHeight="1" x14ac:dyDescent="0.3">
      <c r="A8" s="274" t="s">
        <v>150</v>
      </c>
      <c r="B8" s="199"/>
      <c r="C8" s="199"/>
      <c r="D8" s="199"/>
      <c r="E8" s="199"/>
      <c r="F8" s="199"/>
      <c r="G8" s="199"/>
      <c r="H8" s="199"/>
      <c r="I8" s="199"/>
      <c r="J8" s="199"/>
      <c r="K8" s="199"/>
      <c r="L8" s="199"/>
      <c r="M8" s="199"/>
      <c r="N8" s="199"/>
      <c r="O8" s="199"/>
      <c r="P8" s="199"/>
      <c r="Q8" s="200"/>
      <c r="R8" s="3"/>
      <c r="S8" s="118"/>
      <c r="T8" s="118"/>
      <c r="U8" s="118"/>
      <c r="V8" s="118"/>
      <c r="W8" s="207"/>
      <c r="X8" s="207"/>
      <c r="Y8" s="102"/>
      <c r="Z8" s="102"/>
      <c r="AA8" s="102"/>
      <c r="AB8" s="102"/>
      <c r="AC8" s="3"/>
      <c r="AD8" s="3"/>
      <c r="AE8" s="3"/>
      <c r="AF8" s="3"/>
    </row>
    <row r="9" spans="1:32" ht="9.75" customHeight="1" x14ac:dyDescent="0.3">
      <c r="A9" s="68"/>
      <c r="B9" s="69"/>
      <c r="C9" s="69"/>
      <c r="D9" s="69"/>
      <c r="E9" s="69"/>
      <c r="F9" s="69"/>
      <c r="G9" s="69"/>
      <c r="H9" s="175"/>
      <c r="I9" s="69"/>
      <c r="J9" s="175"/>
      <c r="K9" s="69"/>
      <c r="L9" s="69"/>
      <c r="M9" s="69"/>
      <c r="N9" s="69"/>
      <c r="O9" s="69"/>
      <c r="P9" s="69"/>
      <c r="Q9" s="68"/>
      <c r="R9" s="3"/>
      <c r="S9" s="102"/>
      <c r="T9" s="315"/>
      <c r="U9" s="316"/>
      <c r="V9" s="119"/>
      <c r="W9" s="317"/>
      <c r="X9" s="102"/>
      <c r="Y9" s="102"/>
      <c r="Z9" s="102"/>
      <c r="AA9" s="102"/>
      <c r="AB9" s="102"/>
      <c r="AC9" s="3"/>
      <c r="AD9" s="3"/>
      <c r="AE9" s="3"/>
      <c r="AF9" s="3"/>
    </row>
    <row r="10" spans="1:32" ht="36" customHeight="1" x14ac:dyDescent="0.3">
      <c r="A10" s="68"/>
      <c r="B10" s="69"/>
      <c r="C10" s="301" t="s">
        <v>151</v>
      </c>
      <c r="D10" s="199"/>
      <c r="E10" s="199"/>
      <c r="F10" s="199"/>
      <c r="G10" s="199"/>
      <c r="H10" s="199"/>
      <c r="I10" s="199"/>
      <c r="J10" s="199"/>
      <c r="K10" s="199"/>
      <c r="L10" s="199"/>
      <c r="M10" s="199"/>
      <c r="N10" s="199"/>
      <c r="O10" s="200"/>
      <c r="P10" s="69"/>
      <c r="Q10" s="68"/>
      <c r="R10" s="3"/>
      <c r="S10" s="102"/>
      <c r="T10" s="207"/>
      <c r="U10" s="207"/>
      <c r="V10" s="119"/>
      <c r="W10" s="207"/>
      <c r="X10" s="102"/>
      <c r="Y10" s="102"/>
      <c r="Z10" s="102"/>
      <c r="AA10" s="102"/>
      <c r="AB10" s="102"/>
      <c r="AC10" s="3"/>
      <c r="AD10" s="3"/>
      <c r="AE10" s="3"/>
      <c r="AF10" s="3"/>
    </row>
    <row r="11" spans="1:32" ht="9.75" customHeight="1" x14ac:dyDescent="0.3">
      <c r="A11" s="68"/>
      <c r="B11" s="69"/>
      <c r="C11" s="69"/>
      <c r="D11" s="69"/>
      <c r="E11" s="69"/>
      <c r="F11" s="69"/>
      <c r="G11" s="69"/>
      <c r="H11" s="175"/>
      <c r="I11" s="69"/>
      <c r="J11" s="175"/>
      <c r="K11" s="69"/>
      <c r="L11" s="69"/>
      <c r="M11" s="69"/>
      <c r="N11" s="69"/>
      <c r="O11" s="69"/>
      <c r="P11" s="69"/>
      <c r="Q11" s="68"/>
      <c r="R11" s="3"/>
      <c r="S11" s="102"/>
      <c r="T11" s="117"/>
      <c r="U11" s="120"/>
      <c r="V11" s="121"/>
      <c r="W11" s="207"/>
      <c r="X11" s="102"/>
      <c r="Y11" s="102"/>
      <c r="Z11" s="102"/>
      <c r="AA11" s="102"/>
      <c r="AB11" s="102"/>
      <c r="AC11" s="3"/>
      <c r="AD11" s="3"/>
      <c r="AE11" s="3"/>
      <c r="AF11" s="3"/>
    </row>
    <row r="12" spans="1:32" ht="31.5" customHeight="1" x14ac:dyDescent="0.3">
      <c r="A12" s="4"/>
      <c r="B12" s="3"/>
      <c r="C12" s="23" t="str">
        <f>'3. Dangers'!C16</f>
        <v xml:space="preserve">Inondation </v>
      </c>
      <c r="D12" s="23"/>
      <c r="E12" s="299"/>
      <c r="F12" s="199"/>
      <c r="G12" s="199"/>
      <c r="H12" s="200"/>
      <c r="I12" s="90"/>
      <c r="J12" s="181"/>
      <c r="K12" s="90"/>
      <c r="L12" s="90"/>
      <c r="M12" s="90"/>
      <c r="N12" s="90"/>
      <c r="O12" s="90"/>
      <c r="P12" s="3"/>
      <c r="Q12" s="4"/>
      <c r="R12" s="3"/>
      <c r="S12" s="3"/>
      <c r="T12" s="3"/>
      <c r="U12" s="3"/>
      <c r="V12" s="3"/>
      <c r="W12" s="3"/>
      <c r="X12" s="3"/>
      <c r="Y12" s="3"/>
      <c r="Z12" s="3"/>
      <c r="AA12" s="3"/>
      <c r="AB12" s="3"/>
      <c r="AC12" s="3"/>
      <c r="AD12" s="3"/>
      <c r="AE12" s="3"/>
      <c r="AF12" s="3"/>
    </row>
    <row r="13" spans="1:32" ht="12" customHeight="1" x14ac:dyDescent="0.3">
      <c r="A13" s="4"/>
      <c r="B13" s="3"/>
      <c r="C13" s="293"/>
      <c r="D13" s="196"/>
      <c r="E13" s="196"/>
      <c r="F13" s="196"/>
      <c r="G13" s="196"/>
      <c r="H13" s="196"/>
      <c r="I13" s="196"/>
      <c r="J13" s="196"/>
      <c r="K13" s="196"/>
      <c r="L13" s="196"/>
      <c r="M13" s="196"/>
      <c r="N13" s="196"/>
      <c r="O13" s="197"/>
      <c r="P13" s="3"/>
      <c r="Q13" s="4"/>
      <c r="R13" s="3"/>
      <c r="S13" s="122"/>
      <c r="T13" s="122"/>
      <c r="U13" s="122" t="s">
        <v>152</v>
      </c>
      <c r="V13" s="122"/>
      <c r="W13" s="122"/>
      <c r="X13" s="122"/>
      <c r="Y13" s="3"/>
      <c r="Z13" s="3"/>
      <c r="AA13" s="3"/>
      <c r="AB13" s="3"/>
      <c r="AC13" s="3"/>
      <c r="AD13" s="3"/>
      <c r="AE13" s="3"/>
      <c r="AF13" s="3"/>
    </row>
    <row r="14" spans="1:32" ht="31.5" customHeight="1" x14ac:dyDescent="0.3">
      <c r="A14" s="4"/>
      <c r="B14" s="3"/>
      <c r="C14" s="291" t="s">
        <v>13</v>
      </c>
      <c r="D14" s="196"/>
      <c r="E14" s="197"/>
      <c r="F14" s="39"/>
      <c r="G14" s="123"/>
      <c r="H14" s="176" t="s">
        <v>153</v>
      </c>
      <c r="I14" s="29"/>
      <c r="J14" s="176" t="s">
        <v>154</v>
      </c>
      <c r="K14" s="123"/>
      <c r="L14" s="123"/>
      <c r="M14" s="312" t="s">
        <v>155</v>
      </c>
      <c r="N14" s="196"/>
      <c r="O14" s="197"/>
      <c r="P14" s="3"/>
      <c r="Q14" s="4"/>
      <c r="R14" s="3"/>
      <c r="S14" s="122"/>
      <c r="T14" s="122"/>
      <c r="U14" s="122" t="s">
        <v>156</v>
      </c>
      <c r="V14" s="122" t="s">
        <v>157</v>
      </c>
      <c r="W14" s="122" t="s">
        <v>158</v>
      </c>
      <c r="X14" s="122" t="s">
        <v>159</v>
      </c>
      <c r="Y14" s="3"/>
      <c r="Z14" s="3"/>
      <c r="AA14" s="3"/>
      <c r="AB14" s="3"/>
      <c r="AC14" s="3"/>
      <c r="AD14" s="3"/>
      <c r="AE14" s="3"/>
      <c r="AF14" s="3"/>
    </row>
    <row r="15" spans="1:32" ht="19.5" customHeight="1" x14ac:dyDescent="0.3">
      <c r="A15" s="4"/>
      <c r="B15" s="3"/>
      <c r="C15" s="289" t="s">
        <v>15</v>
      </c>
      <c r="D15" s="196"/>
      <c r="E15" s="197"/>
      <c r="F15" s="39"/>
      <c r="G15" s="124"/>
      <c r="H15" s="177">
        <f>'4. Vulnérabilité'!V29</f>
        <v>0.67</v>
      </c>
      <c r="I15" s="29"/>
      <c r="J15" s="177">
        <f>'5. Capacité'!P19</f>
        <v>0.67</v>
      </c>
      <c r="K15" s="125"/>
      <c r="L15" s="125"/>
      <c r="M15" s="311" t="str">
        <f>IF(AND(H15&lt;&gt;"",J15&lt;&gt;""),IF((H15-J15)&lt;-0.32,"LOW",IF((H15-J15)&lt;0.33,"MODERATE","HIGH")),"")</f>
        <v>MODERATE</v>
      </c>
      <c r="N15" s="196"/>
      <c r="O15" s="197"/>
      <c r="P15" s="3"/>
      <c r="Q15" s="4"/>
      <c r="R15" s="3"/>
      <c r="S15" s="122" t="s">
        <v>160</v>
      </c>
      <c r="T15" s="122"/>
      <c r="U15" s="122">
        <v>0</v>
      </c>
      <c r="V15" s="122">
        <v>0.33</v>
      </c>
      <c r="W15" s="122">
        <v>0.67</v>
      </c>
      <c r="X15" s="122">
        <v>1</v>
      </c>
      <c r="Y15" s="3"/>
      <c r="Z15" s="3"/>
      <c r="AA15" s="3"/>
      <c r="AB15" s="3"/>
      <c r="AC15" s="3"/>
      <c r="AD15" s="3"/>
      <c r="AE15" s="3"/>
      <c r="AF15" s="3"/>
    </row>
    <row r="16" spans="1:32" ht="19.5" customHeight="1" x14ac:dyDescent="0.3">
      <c r="A16" s="4"/>
      <c r="B16" s="3"/>
      <c r="C16" s="290" t="s">
        <v>16</v>
      </c>
      <c r="D16" s="196"/>
      <c r="E16" s="197"/>
      <c r="F16" s="39"/>
      <c r="G16" s="124"/>
      <c r="H16" s="178">
        <f>'4. Vulnérabilité'!V30</f>
        <v>1</v>
      </c>
      <c r="I16" s="29"/>
      <c r="J16" s="177">
        <f>'5. Capacité'!P20</f>
        <v>0.67</v>
      </c>
      <c r="K16" s="125"/>
      <c r="L16" s="125"/>
      <c r="M16" s="324" t="str">
        <f t="shared" ref="M16:M22" si="0">IF(AND(H16&lt;&gt;"",J16&lt;&gt;""),IF((H16-J16)&lt;-0.33,"LOW",IF((H16-J16)&lt;0.32,"MODERATE","HIGH")),"")</f>
        <v>HIGH</v>
      </c>
      <c r="N16" s="196"/>
      <c r="O16" s="197"/>
      <c r="P16" s="3"/>
      <c r="Q16" s="4"/>
      <c r="R16" s="3"/>
      <c r="S16" s="122" t="s">
        <v>159</v>
      </c>
      <c r="T16" s="122">
        <v>1</v>
      </c>
      <c r="U16" s="122" t="s">
        <v>161</v>
      </c>
      <c r="V16" s="122" t="s">
        <v>161</v>
      </c>
      <c r="W16" s="122" t="s">
        <v>161</v>
      </c>
      <c r="X16" s="122" t="s">
        <v>162</v>
      </c>
      <c r="Y16" s="3"/>
      <c r="Z16" s="3"/>
      <c r="AA16" s="3"/>
      <c r="AB16" s="3"/>
      <c r="AC16" s="3"/>
      <c r="AD16" s="3"/>
      <c r="AE16" s="3"/>
      <c r="AF16" s="3"/>
    </row>
    <row r="17" spans="1:32" ht="19.5" customHeight="1" x14ac:dyDescent="0.3">
      <c r="A17" s="4"/>
      <c r="B17" s="3"/>
      <c r="C17" s="289" t="s">
        <v>17</v>
      </c>
      <c r="D17" s="196"/>
      <c r="E17" s="197"/>
      <c r="F17" s="39"/>
      <c r="G17" s="124"/>
      <c r="H17" s="177">
        <f>'4. Vulnérabilité'!V31</f>
        <v>0.67</v>
      </c>
      <c r="I17" s="29"/>
      <c r="J17" s="177">
        <f>'5. Capacité'!P21</f>
        <v>0.67</v>
      </c>
      <c r="K17" s="125"/>
      <c r="L17" s="125"/>
      <c r="M17" s="311" t="str">
        <f t="shared" si="0"/>
        <v>MODERATE</v>
      </c>
      <c r="N17" s="196"/>
      <c r="O17" s="197"/>
      <c r="P17" s="3"/>
      <c r="Q17" s="4"/>
      <c r="R17" s="3"/>
      <c r="S17" s="122"/>
      <c r="T17" s="122"/>
      <c r="U17" s="122"/>
      <c r="V17" s="122"/>
      <c r="W17" s="122"/>
      <c r="X17" s="122"/>
      <c r="Y17" s="3"/>
      <c r="Z17" s="3"/>
      <c r="AA17" s="3"/>
      <c r="AB17" s="3"/>
      <c r="AC17" s="3"/>
      <c r="AD17" s="3"/>
      <c r="AE17" s="3"/>
      <c r="AF17" s="3"/>
    </row>
    <row r="18" spans="1:32" ht="19.5" customHeight="1" x14ac:dyDescent="0.3">
      <c r="A18" s="4"/>
      <c r="B18" s="3"/>
      <c r="C18" s="290" t="s">
        <v>110</v>
      </c>
      <c r="D18" s="196"/>
      <c r="E18" s="197"/>
      <c r="F18" s="39"/>
      <c r="G18" s="124"/>
      <c r="H18" s="178">
        <f>'4. Vulnérabilité'!V32</f>
        <v>0.67</v>
      </c>
      <c r="I18" s="29"/>
      <c r="J18" s="177">
        <f>'5. Capacité'!P22</f>
        <v>0.67</v>
      </c>
      <c r="K18" s="125"/>
      <c r="L18" s="125"/>
      <c r="M18" s="324" t="str">
        <f t="shared" si="0"/>
        <v>MODERATE</v>
      </c>
      <c r="N18" s="196"/>
      <c r="O18" s="197"/>
      <c r="P18" s="3"/>
      <c r="Q18" s="4"/>
      <c r="R18" s="3"/>
      <c r="S18" s="122"/>
      <c r="T18" s="122"/>
      <c r="U18" s="122"/>
      <c r="V18" s="122"/>
      <c r="W18" s="122"/>
      <c r="X18" s="122"/>
      <c r="Y18" s="3"/>
      <c r="Z18" s="3"/>
      <c r="AA18" s="3"/>
      <c r="AB18" s="3"/>
      <c r="AC18" s="3"/>
      <c r="AD18" s="3"/>
      <c r="AE18" s="3"/>
      <c r="AF18" s="3"/>
    </row>
    <row r="19" spans="1:32" ht="19.5" customHeight="1" x14ac:dyDescent="0.3">
      <c r="A19" s="4"/>
      <c r="B19" s="3"/>
      <c r="C19" s="289" t="s">
        <v>19</v>
      </c>
      <c r="D19" s="196"/>
      <c r="E19" s="197"/>
      <c r="F19" s="39"/>
      <c r="G19" s="124"/>
      <c r="H19" s="177">
        <f>'4. Vulnérabilité'!V33</f>
        <v>1</v>
      </c>
      <c r="I19" s="29"/>
      <c r="J19" s="177">
        <f>'5. Capacité'!P23</f>
        <v>0</v>
      </c>
      <c r="K19" s="125"/>
      <c r="L19" s="125"/>
      <c r="M19" s="311" t="str">
        <f t="shared" si="0"/>
        <v>HIGH</v>
      </c>
      <c r="N19" s="196"/>
      <c r="O19" s="197"/>
      <c r="P19" s="3"/>
      <c r="Q19" s="4"/>
      <c r="R19" s="3"/>
      <c r="S19" s="122"/>
      <c r="T19" s="122"/>
      <c r="U19" s="122"/>
      <c r="V19" s="122"/>
      <c r="W19" s="122"/>
      <c r="X19" s="122"/>
      <c r="Y19" s="3"/>
      <c r="Z19" s="3"/>
      <c r="AA19" s="3"/>
      <c r="AB19" s="3"/>
      <c r="AC19" s="3"/>
      <c r="AD19" s="3"/>
      <c r="AE19" s="3"/>
      <c r="AF19" s="3"/>
    </row>
    <row r="20" spans="1:32" ht="19.5" customHeight="1" x14ac:dyDescent="0.3">
      <c r="A20" s="4"/>
      <c r="B20" s="3"/>
      <c r="C20" s="290" t="s">
        <v>112</v>
      </c>
      <c r="D20" s="196"/>
      <c r="E20" s="197"/>
      <c r="F20" s="39"/>
      <c r="G20" s="124"/>
      <c r="H20" s="178">
        <f>'4. Vulnérabilité'!V34</f>
        <v>0.67</v>
      </c>
      <c r="I20" s="29"/>
      <c r="J20" s="177">
        <f>'5. Capacité'!P24</f>
        <v>0.67</v>
      </c>
      <c r="K20" s="125"/>
      <c r="L20" s="125"/>
      <c r="M20" s="324" t="str">
        <f t="shared" si="0"/>
        <v>MODERATE</v>
      </c>
      <c r="N20" s="196"/>
      <c r="O20" s="197"/>
      <c r="P20" s="3"/>
      <c r="Q20" s="4"/>
      <c r="R20" s="3"/>
      <c r="S20" s="122" t="s">
        <v>158</v>
      </c>
      <c r="T20" s="122">
        <v>0.67</v>
      </c>
      <c r="U20" s="122" t="s">
        <v>161</v>
      </c>
      <c r="V20" s="122" t="s">
        <v>161</v>
      </c>
      <c r="W20" s="122" t="s">
        <v>162</v>
      </c>
      <c r="X20" s="122" t="s">
        <v>163</v>
      </c>
      <c r="Y20" s="3"/>
      <c r="Z20" s="3"/>
      <c r="AA20" s="3"/>
      <c r="AB20" s="3"/>
      <c r="AC20" s="3"/>
      <c r="AD20" s="3"/>
      <c r="AE20" s="3"/>
      <c r="AF20" s="3"/>
    </row>
    <row r="21" spans="1:32" ht="19.5" customHeight="1" x14ac:dyDescent="0.3">
      <c r="A21" s="4"/>
      <c r="B21" s="3"/>
      <c r="C21" s="289" t="s">
        <v>113</v>
      </c>
      <c r="D21" s="196"/>
      <c r="E21" s="197"/>
      <c r="F21" s="39"/>
      <c r="G21" s="124"/>
      <c r="H21" s="177">
        <f>'4. Vulnérabilité'!V35</f>
        <v>0.67</v>
      </c>
      <c r="I21" s="29"/>
      <c r="J21" s="177">
        <f>'5. Capacité'!P25</f>
        <v>0.33</v>
      </c>
      <c r="K21" s="125"/>
      <c r="L21" s="125"/>
      <c r="M21" s="311" t="str">
        <f t="shared" si="0"/>
        <v>HIGH</v>
      </c>
      <c r="N21" s="196"/>
      <c r="O21" s="197"/>
      <c r="P21" s="3"/>
      <c r="Q21" s="4"/>
      <c r="R21" s="3"/>
      <c r="S21" s="122" t="s">
        <v>157</v>
      </c>
      <c r="T21" s="122">
        <v>0.33</v>
      </c>
      <c r="U21" s="122" t="s">
        <v>161</v>
      </c>
      <c r="V21" s="122" t="s">
        <v>162</v>
      </c>
      <c r="W21" s="122" t="s">
        <v>163</v>
      </c>
      <c r="X21" s="122" t="s">
        <v>163</v>
      </c>
      <c r="Y21" s="3"/>
      <c r="Z21" s="3"/>
      <c r="AA21" s="3"/>
      <c r="AB21" s="3"/>
      <c r="AC21" s="3"/>
      <c r="AD21" s="3"/>
      <c r="AE21" s="3"/>
      <c r="AF21" s="3"/>
    </row>
    <row r="22" spans="1:32" ht="19.5" customHeight="1" x14ac:dyDescent="0.3">
      <c r="A22" s="4"/>
      <c r="B22" s="3"/>
      <c r="C22" s="290" t="s">
        <v>114</v>
      </c>
      <c r="D22" s="196"/>
      <c r="E22" s="197"/>
      <c r="F22" s="39"/>
      <c r="G22" s="124"/>
      <c r="H22" s="178">
        <f>'4. Vulnérabilité'!V36</f>
        <v>0.67</v>
      </c>
      <c r="I22" s="29"/>
      <c r="J22" s="177">
        <f>'5. Capacité'!P26</f>
        <v>0.33</v>
      </c>
      <c r="K22" s="125"/>
      <c r="L22" s="125"/>
      <c r="M22" s="324" t="str">
        <f t="shared" si="0"/>
        <v>HIGH</v>
      </c>
      <c r="N22" s="196"/>
      <c r="O22" s="197"/>
      <c r="P22" s="3"/>
      <c r="Q22" s="4"/>
      <c r="R22" s="3"/>
      <c r="S22" s="122" t="s">
        <v>156</v>
      </c>
      <c r="T22" s="122">
        <v>0</v>
      </c>
      <c r="U22" s="122" t="s">
        <v>162</v>
      </c>
      <c r="V22" s="122" t="s">
        <v>163</v>
      </c>
      <c r="W22" s="122" t="s">
        <v>163</v>
      </c>
      <c r="X22" s="122" t="s">
        <v>163</v>
      </c>
      <c r="Y22" s="3"/>
      <c r="Z22" s="3"/>
      <c r="AA22" s="3"/>
      <c r="AB22" s="3"/>
      <c r="AC22" s="3"/>
      <c r="AD22" s="3"/>
      <c r="AE22" s="3"/>
      <c r="AF22" s="3"/>
    </row>
    <row r="23" spans="1:32" ht="19.5" customHeight="1" x14ac:dyDescent="0.3">
      <c r="A23" s="4"/>
      <c r="B23" s="3"/>
      <c r="C23" s="289" t="s">
        <v>164</v>
      </c>
      <c r="D23" s="196"/>
      <c r="E23" s="197"/>
      <c r="F23" s="39"/>
      <c r="G23" s="124"/>
      <c r="H23" s="126" t="s">
        <v>165</v>
      </c>
      <c r="I23" s="29"/>
      <c r="J23" s="126" t="s">
        <v>165</v>
      </c>
      <c r="K23" s="125"/>
      <c r="L23" s="125"/>
      <c r="M23" s="324" t="str">
        <f>'6. Cohésion, Inclusion, Connect'!S16</f>
        <v>MOYENNE</v>
      </c>
      <c r="N23" s="196"/>
      <c r="O23" s="197"/>
      <c r="P23" s="3"/>
      <c r="Q23" s="4"/>
      <c r="R23" s="3"/>
      <c r="S23" s="3"/>
      <c r="T23" s="3"/>
      <c r="U23" s="3"/>
      <c r="V23" s="3"/>
      <c r="W23" s="3"/>
      <c r="X23" s="3"/>
      <c r="Y23" s="3"/>
      <c r="Z23" s="3"/>
      <c r="AA23" s="3"/>
      <c r="AB23" s="3"/>
      <c r="AC23" s="3"/>
      <c r="AD23" s="3"/>
      <c r="AE23" s="3"/>
      <c r="AF23" s="3"/>
    </row>
    <row r="24" spans="1:32" ht="19.5" customHeight="1" x14ac:dyDescent="0.3">
      <c r="A24" s="4"/>
      <c r="B24" s="3"/>
      <c r="C24" s="127" t="s">
        <v>166</v>
      </c>
      <c r="D24" s="127"/>
      <c r="E24" s="127"/>
      <c r="F24" s="39"/>
      <c r="G24" s="124"/>
      <c r="H24" s="128" t="s">
        <v>165</v>
      </c>
      <c r="I24" s="29"/>
      <c r="J24" s="126"/>
      <c r="K24" s="125"/>
      <c r="L24" s="125"/>
      <c r="M24" s="324" t="str">
        <f>'6. Cohésion, Inclusion, Connect'!S17</f>
        <v>MOYENNE</v>
      </c>
      <c r="N24" s="196"/>
      <c r="O24" s="197"/>
      <c r="P24" s="3"/>
      <c r="Q24" s="4"/>
      <c r="R24" s="3"/>
      <c r="S24" s="3"/>
      <c r="T24" s="3"/>
      <c r="U24" s="3"/>
      <c r="V24" s="3"/>
      <c r="W24" s="3"/>
      <c r="X24" s="3"/>
      <c r="Y24" s="3"/>
      <c r="Z24" s="3"/>
      <c r="AA24" s="3"/>
      <c r="AB24" s="3"/>
      <c r="AC24" s="3"/>
      <c r="AD24" s="3"/>
      <c r="AE24" s="3"/>
      <c r="AF24" s="3"/>
    </row>
    <row r="25" spans="1:32" ht="20.25" customHeight="1" x14ac:dyDescent="0.3">
      <c r="A25" s="4"/>
      <c r="B25" s="3"/>
      <c r="C25" s="289" t="s">
        <v>25</v>
      </c>
      <c r="D25" s="196"/>
      <c r="E25" s="197"/>
      <c r="F25" s="39"/>
      <c r="G25" s="124"/>
      <c r="H25" s="128" t="s">
        <v>165</v>
      </c>
      <c r="I25" s="29"/>
      <c r="J25" s="126" t="s">
        <v>165</v>
      </c>
      <c r="K25" s="125"/>
      <c r="L25" s="125"/>
      <c r="M25" s="324" t="str">
        <f>'6. Cohésion, Inclusion, Connect'!S18</f>
        <v>FAIBLE</v>
      </c>
      <c r="N25" s="196"/>
      <c r="O25" s="197"/>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81"/>
      <c r="I26" s="3"/>
      <c r="J26" s="81"/>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5" t="str">
        <f>'3. Dangers'!M16</f>
        <v>Cyclone</v>
      </c>
      <c r="D27" s="95"/>
      <c r="E27" s="297"/>
      <c r="F27" s="199"/>
      <c r="G27" s="199"/>
      <c r="H27" s="200"/>
      <c r="I27" s="97"/>
      <c r="J27" s="182"/>
      <c r="K27" s="97"/>
      <c r="L27" s="97"/>
      <c r="M27" s="97"/>
      <c r="N27" s="97"/>
      <c r="O27" s="97"/>
      <c r="P27" s="3"/>
      <c r="Q27" s="4"/>
      <c r="R27" s="3"/>
      <c r="S27" s="122"/>
      <c r="T27" s="122"/>
      <c r="U27" s="122" t="s">
        <v>156</v>
      </c>
      <c r="V27" s="122" t="s">
        <v>157</v>
      </c>
      <c r="W27" s="122" t="s">
        <v>158</v>
      </c>
      <c r="X27" s="122" t="s">
        <v>159</v>
      </c>
      <c r="Y27" s="3"/>
      <c r="Z27" s="3"/>
      <c r="AA27" s="3"/>
      <c r="AB27" s="3"/>
      <c r="AC27" s="3"/>
      <c r="AD27" s="3"/>
      <c r="AE27" s="3"/>
      <c r="AF27" s="3"/>
    </row>
    <row r="28" spans="1:32" ht="12" customHeight="1" x14ac:dyDescent="0.3">
      <c r="A28" s="4"/>
      <c r="B28" s="3"/>
      <c r="C28" s="293"/>
      <c r="D28" s="196"/>
      <c r="E28" s="196"/>
      <c r="F28" s="196"/>
      <c r="G28" s="196"/>
      <c r="H28" s="196"/>
      <c r="I28" s="196"/>
      <c r="J28" s="196"/>
      <c r="K28" s="196"/>
      <c r="L28" s="196"/>
      <c r="M28" s="196"/>
      <c r="N28" s="196"/>
      <c r="O28" s="197"/>
      <c r="P28" s="3"/>
      <c r="Q28" s="4"/>
      <c r="R28" s="3"/>
      <c r="S28" s="122" t="s">
        <v>160</v>
      </c>
      <c r="T28" s="122"/>
      <c r="U28" s="122">
        <v>0</v>
      </c>
      <c r="V28" s="122">
        <v>0.33</v>
      </c>
      <c r="W28" s="122">
        <v>0.67</v>
      </c>
      <c r="X28" s="122">
        <v>1</v>
      </c>
      <c r="Y28" s="3"/>
      <c r="Z28" s="129"/>
      <c r="AA28" s="129"/>
      <c r="AB28" s="29"/>
      <c r="AC28" s="310"/>
      <c r="AD28" s="196"/>
      <c r="AE28" s="196"/>
      <c r="AF28" s="197"/>
    </row>
    <row r="29" spans="1:32" ht="15.75" customHeight="1" x14ac:dyDescent="0.3">
      <c r="A29" s="4"/>
      <c r="B29" s="3"/>
      <c r="C29" s="291" t="s">
        <v>13</v>
      </c>
      <c r="D29" s="196"/>
      <c r="E29" s="197"/>
      <c r="F29" s="39"/>
      <c r="G29" s="123"/>
      <c r="H29" s="176" t="s">
        <v>167</v>
      </c>
      <c r="I29" s="29"/>
      <c r="J29" s="176" t="s">
        <v>168</v>
      </c>
      <c r="K29" s="123"/>
      <c r="L29" s="123"/>
      <c r="M29" s="312" t="s">
        <v>155</v>
      </c>
      <c r="N29" s="196"/>
      <c r="O29" s="197"/>
      <c r="P29" s="3"/>
      <c r="Q29" s="4"/>
      <c r="R29" s="3"/>
      <c r="S29" s="122" t="s">
        <v>159</v>
      </c>
      <c r="T29" s="122">
        <v>1</v>
      </c>
      <c r="U29" s="130">
        <f>U28-T29</f>
        <v>-1</v>
      </c>
      <c r="V29" s="130">
        <f>V28-T29</f>
        <v>-0.66999999999999993</v>
      </c>
      <c r="W29" s="130">
        <f>W28-T29</f>
        <v>-0.32999999999999996</v>
      </c>
      <c r="X29" s="131">
        <f>X28-T29</f>
        <v>0</v>
      </c>
      <c r="Y29" s="3"/>
      <c r="Z29" s="132"/>
      <c r="AA29" s="132"/>
      <c r="AB29" s="29"/>
      <c r="AC29" s="132"/>
      <c r="AD29" s="132"/>
      <c r="AE29" s="132"/>
      <c r="AF29" s="132"/>
    </row>
    <row r="30" spans="1:32" ht="19.5" customHeight="1" x14ac:dyDescent="0.3">
      <c r="A30" s="4"/>
      <c r="B30" s="3"/>
      <c r="C30" s="289" t="s">
        <v>15</v>
      </c>
      <c r="D30" s="196"/>
      <c r="E30" s="197"/>
      <c r="F30" s="39"/>
      <c r="G30" s="124"/>
      <c r="H30" s="177">
        <f>'4. Vulnérabilité'!V43</f>
        <v>1</v>
      </c>
      <c r="I30" s="29"/>
      <c r="J30" s="177">
        <f>'5. Capacité'!P33</f>
        <v>0.67</v>
      </c>
      <c r="K30" s="125"/>
      <c r="L30" s="125"/>
      <c r="M30" s="311" t="str">
        <f t="shared" ref="M30:M37" si="1">IF(AND(H30&lt;&gt;"",J30&lt;&gt;""),IF((H30-J30)&lt;-0.32,"LOW",IF((H30-J30)&lt;0.33,"MODERATE","HIGH")),"")</f>
        <v>HIGH</v>
      </c>
      <c r="N30" s="196"/>
      <c r="O30" s="197"/>
      <c r="P30" s="3"/>
      <c r="Q30" s="4"/>
      <c r="R30" s="3"/>
      <c r="S30" s="122" t="s">
        <v>158</v>
      </c>
      <c r="T30" s="122">
        <v>0.67</v>
      </c>
      <c r="U30" s="130">
        <f>U28-T30</f>
        <v>-0.67</v>
      </c>
      <c r="V30" s="130">
        <f>V28-T30</f>
        <v>-0.34</v>
      </c>
      <c r="W30" s="131">
        <f>W28-T30</f>
        <v>0</v>
      </c>
      <c r="X30" s="133">
        <f>X28-T30</f>
        <v>0.32999999999999996</v>
      </c>
      <c r="Y30" s="3"/>
      <c r="Z30" s="134"/>
      <c r="AA30" s="134"/>
      <c r="AB30" s="29"/>
      <c r="AC30" s="134"/>
      <c r="AD30" s="134"/>
      <c r="AE30" s="134"/>
      <c r="AF30" s="134"/>
    </row>
    <row r="31" spans="1:32" ht="19.5" customHeight="1" x14ac:dyDescent="0.3">
      <c r="A31" s="4"/>
      <c r="B31" s="3"/>
      <c r="C31" s="290" t="s">
        <v>16</v>
      </c>
      <c r="D31" s="196"/>
      <c r="E31" s="197"/>
      <c r="F31" s="39"/>
      <c r="G31" s="124"/>
      <c r="H31" s="178">
        <f>'4. Vulnérabilité'!V44</f>
        <v>1</v>
      </c>
      <c r="I31" s="29"/>
      <c r="J31" s="178">
        <f>'5. Capacité'!P34</f>
        <v>0.67</v>
      </c>
      <c r="K31" s="125"/>
      <c r="L31" s="125"/>
      <c r="M31" s="311" t="str">
        <f t="shared" si="1"/>
        <v>HIGH</v>
      </c>
      <c r="N31" s="196"/>
      <c r="O31" s="197"/>
      <c r="P31" s="3"/>
      <c r="Q31" s="4"/>
      <c r="R31" s="3"/>
      <c r="S31" s="122" t="s">
        <v>157</v>
      </c>
      <c r="T31" s="122">
        <v>0.33</v>
      </c>
      <c r="U31" s="130">
        <f>U28-T31</f>
        <v>-0.33</v>
      </c>
      <c r="V31" s="131">
        <f>V28-T31</f>
        <v>0</v>
      </c>
      <c r="W31" s="133">
        <f>W28-T31</f>
        <v>0.34</v>
      </c>
      <c r="X31" s="133">
        <f>X28-T31</f>
        <v>0.66999999999999993</v>
      </c>
      <c r="Y31" s="3"/>
      <c r="Z31" s="134"/>
      <c r="AA31" s="29"/>
      <c r="AB31" s="29"/>
      <c r="AC31" s="29"/>
      <c r="AD31" s="29"/>
      <c r="AE31" s="29"/>
      <c r="AF31" s="29"/>
    </row>
    <row r="32" spans="1:32" ht="19.5" customHeight="1" x14ac:dyDescent="0.3">
      <c r="A32" s="4"/>
      <c r="B32" s="3"/>
      <c r="C32" s="289" t="s">
        <v>17</v>
      </c>
      <c r="D32" s="196"/>
      <c r="E32" s="197"/>
      <c r="F32" s="39"/>
      <c r="G32" s="124"/>
      <c r="H32" s="177">
        <f>'4. Vulnérabilité'!V45</f>
        <v>1</v>
      </c>
      <c r="I32" s="29"/>
      <c r="J32" s="177">
        <f>'5. Capacité'!P35</f>
        <v>0.67</v>
      </c>
      <c r="K32" s="125"/>
      <c r="L32" s="125"/>
      <c r="M32" s="311" t="str">
        <f t="shared" si="1"/>
        <v>HIGH</v>
      </c>
      <c r="N32" s="196"/>
      <c r="O32" s="197"/>
      <c r="P32" s="3"/>
      <c r="Q32" s="4"/>
      <c r="R32" s="3"/>
      <c r="S32" s="122"/>
      <c r="T32" s="122"/>
      <c r="U32" s="130"/>
      <c r="V32" s="131"/>
      <c r="W32" s="133"/>
      <c r="X32" s="133"/>
      <c r="Y32" s="3"/>
      <c r="Z32" s="134"/>
      <c r="AA32" s="29"/>
      <c r="AB32" s="29"/>
      <c r="AC32" s="29"/>
      <c r="AD32" s="29"/>
      <c r="AE32" s="29"/>
      <c r="AF32" s="29"/>
    </row>
    <row r="33" spans="1:32" ht="19.5" customHeight="1" x14ac:dyDescent="0.3">
      <c r="A33" s="4"/>
      <c r="B33" s="3"/>
      <c r="C33" s="290" t="s">
        <v>110</v>
      </c>
      <c r="D33" s="196"/>
      <c r="E33" s="197"/>
      <c r="F33" s="39"/>
      <c r="G33" s="124"/>
      <c r="H33" s="178">
        <f>'4. Vulnérabilité'!V46</f>
        <v>1</v>
      </c>
      <c r="I33" s="29"/>
      <c r="J33" s="178">
        <f>'5. Capacité'!P36</f>
        <v>1</v>
      </c>
      <c r="K33" s="125"/>
      <c r="L33" s="125"/>
      <c r="M33" s="311" t="str">
        <f t="shared" si="1"/>
        <v>MODERATE</v>
      </c>
      <c r="N33" s="196"/>
      <c r="O33" s="197"/>
      <c r="P33" s="3"/>
      <c r="Q33" s="4"/>
      <c r="R33" s="3"/>
      <c r="S33" s="122"/>
      <c r="T33" s="122"/>
      <c r="U33" s="130"/>
      <c r="V33" s="131"/>
      <c r="W33" s="133"/>
      <c r="X33" s="133"/>
      <c r="Y33" s="3"/>
      <c r="Z33" s="134"/>
      <c r="AA33" s="29"/>
      <c r="AB33" s="29"/>
      <c r="AC33" s="29"/>
      <c r="AD33" s="29"/>
      <c r="AE33" s="29"/>
      <c r="AF33" s="29"/>
    </row>
    <row r="34" spans="1:32" ht="19.5" customHeight="1" x14ac:dyDescent="0.3">
      <c r="A34" s="4"/>
      <c r="B34" s="3"/>
      <c r="C34" s="289" t="s">
        <v>19</v>
      </c>
      <c r="D34" s="196"/>
      <c r="E34" s="197"/>
      <c r="F34" s="39"/>
      <c r="G34" s="124"/>
      <c r="H34" s="177">
        <f>'4. Vulnérabilité'!V47</f>
        <v>0.67</v>
      </c>
      <c r="I34" s="29"/>
      <c r="J34" s="177">
        <f>'5. Capacité'!P37</f>
        <v>0.67</v>
      </c>
      <c r="K34" s="125"/>
      <c r="L34" s="125"/>
      <c r="M34" s="311" t="str">
        <f t="shared" si="1"/>
        <v>MODERATE</v>
      </c>
      <c r="N34" s="196"/>
      <c r="O34" s="197"/>
      <c r="P34" s="3"/>
      <c r="Q34" s="4"/>
      <c r="R34" s="3"/>
      <c r="S34" s="122"/>
      <c r="T34" s="122"/>
      <c r="U34" s="130"/>
      <c r="V34" s="131"/>
      <c r="W34" s="133"/>
      <c r="X34" s="133"/>
      <c r="Y34" s="3"/>
      <c r="Z34" s="134"/>
      <c r="AA34" s="29"/>
      <c r="AB34" s="29"/>
      <c r="AC34" s="29"/>
      <c r="AD34" s="29"/>
      <c r="AE34" s="29"/>
      <c r="AF34" s="29"/>
    </row>
    <row r="35" spans="1:32" ht="19.5" customHeight="1" x14ac:dyDescent="0.3">
      <c r="A35" s="4"/>
      <c r="B35" s="3"/>
      <c r="C35" s="290" t="s">
        <v>112</v>
      </c>
      <c r="D35" s="196"/>
      <c r="E35" s="197"/>
      <c r="F35" s="39"/>
      <c r="G35" s="124"/>
      <c r="H35" s="178">
        <f>'4. Vulnérabilité'!V48</f>
        <v>1</v>
      </c>
      <c r="I35" s="29"/>
      <c r="J35" s="178">
        <f>'5. Capacité'!P38</f>
        <v>0.67</v>
      </c>
      <c r="K35" s="125"/>
      <c r="L35" s="125"/>
      <c r="M35" s="311" t="str">
        <f t="shared" si="1"/>
        <v>HIGH</v>
      </c>
      <c r="N35" s="196"/>
      <c r="O35" s="197"/>
      <c r="P35" s="3"/>
      <c r="Q35" s="4"/>
      <c r="R35" s="3"/>
      <c r="S35" s="122" t="s">
        <v>156</v>
      </c>
      <c r="T35" s="122">
        <v>0</v>
      </c>
      <c r="U35" s="131">
        <v>0</v>
      </c>
      <c r="V35" s="133">
        <f>V28-T35</f>
        <v>0.33</v>
      </c>
      <c r="W35" s="133">
        <f>W28-T35</f>
        <v>0.67</v>
      </c>
      <c r="X35" s="133">
        <f>X28-T35</f>
        <v>1</v>
      </c>
      <c r="Y35" s="3"/>
      <c r="Z35" s="134"/>
      <c r="AA35" s="29"/>
      <c r="AB35" s="29"/>
      <c r="AC35" s="29"/>
      <c r="AD35" s="29"/>
      <c r="AE35" s="29"/>
      <c r="AF35" s="29"/>
    </row>
    <row r="36" spans="1:32" ht="19.5" customHeight="1" x14ac:dyDescent="0.3">
      <c r="A36" s="4"/>
      <c r="B36" s="3"/>
      <c r="C36" s="289" t="s">
        <v>113</v>
      </c>
      <c r="D36" s="196"/>
      <c r="E36" s="197"/>
      <c r="F36" s="39"/>
      <c r="G36" s="124"/>
      <c r="H36" s="177">
        <f>'4. Vulnérabilité'!V49</f>
        <v>1</v>
      </c>
      <c r="I36" s="29"/>
      <c r="J36" s="177">
        <f>'5. Capacité'!P39</f>
        <v>0.67</v>
      </c>
      <c r="K36" s="125"/>
      <c r="L36" s="125"/>
      <c r="M36" s="311" t="str">
        <f t="shared" si="1"/>
        <v>HIGH</v>
      </c>
      <c r="N36" s="196"/>
      <c r="O36" s="197"/>
      <c r="P36" s="3"/>
      <c r="Q36" s="4"/>
      <c r="R36" s="3"/>
      <c r="S36" s="3"/>
      <c r="T36" s="3"/>
      <c r="U36" s="3"/>
      <c r="V36" s="3"/>
      <c r="W36" s="3"/>
      <c r="X36" s="3"/>
      <c r="Y36" s="3"/>
      <c r="Z36" s="134"/>
      <c r="AA36" s="29"/>
      <c r="AB36" s="29"/>
      <c r="AC36" s="29"/>
      <c r="AD36" s="29"/>
      <c r="AE36" s="29"/>
      <c r="AF36" s="29"/>
    </row>
    <row r="37" spans="1:32" ht="19.5" customHeight="1" x14ac:dyDescent="0.3">
      <c r="A37" s="4"/>
      <c r="B37" s="3"/>
      <c r="C37" s="290" t="s">
        <v>114</v>
      </c>
      <c r="D37" s="196"/>
      <c r="E37" s="197"/>
      <c r="F37" s="39"/>
      <c r="G37" s="124"/>
      <c r="H37" s="178">
        <f>'4. Vulnérabilité'!V50</f>
        <v>1</v>
      </c>
      <c r="I37" s="29"/>
      <c r="J37" s="178">
        <f>'5. Capacité'!P40</f>
        <v>0.33</v>
      </c>
      <c r="K37" s="125"/>
      <c r="L37" s="125"/>
      <c r="M37" s="311" t="str">
        <f t="shared" si="1"/>
        <v>HIGH</v>
      </c>
      <c r="N37" s="196"/>
      <c r="O37" s="197"/>
      <c r="P37" s="3"/>
      <c r="Q37" s="4"/>
      <c r="R37" s="3"/>
      <c r="S37" s="134"/>
      <c r="T37" s="29"/>
      <c r="U37" s="135"/>
      <c r="V37" s="135"/>
      <c r="W37" s="135"/>
      <c r="X37" s="134"/>
      <c r="Y37" s="134"/>
      <c r="Z37" s="134"/>
      <c r="AA37" s="29"/>
      <c r="AB37" s="29"/>
      <c r="AC37" s="29"/>
      <c r="AD37" s="29"/>
      <c r="AE37" s="29"/>
      <c r="AF37" s="29"/>
    </row>
    <row r="38" spans="1:32" ht="19.5" customHeight="1" x14ac:dyDescent="0.3">
      <c r="A38" s="4"/>
      <c r="B38" s="3"/>
      <c r="C38" s="289" t="s">
        <v>164</v>
      </c>
      <c r="D38" s="196"/>
      <c r="E38" s="197"/>
      <c r="F38" s="39"/>
      <c r="G38" s="124"/>
      <c r="H38" s="126" t="s">
        <v>165</v>
      </c>
      <c r="I38" s="3"/>
      <c r="J38" s="126" t="s">
        <v>165</v>
      </c>
      <c r="K38" s="125"/>
      <c r="L38" s="125"/>
      <c r="M38" s="311" t="str">
        <f t="shared" ref="M38:M40" si="2">M23</f>
        <v>MOYENNE</v>
      </c>
      <c r="N38" s="196"/>
      <c r="O38" s="197"/>
      <c r="P38" s="3"/>
      <c r="Q38" s="4"/>
      <c r="R38" s="3"/>
      <c r="S38" s="134"/>
      <c r="T38" s="29"/>
      <c r="U38" s="135"/>
      <c r="V38" s="135"/>
      <c r="W38" s="135"/>
      <c r="X38" s="134"/>
      <c r="Y38" s="134"/>
      <c r="Z38" s="134"/>
      <c r="AA38" s="29"/>
      <c r="AB38" s="29"/>
      <c r="AC38" s="29"/>
      <c r="AD38" s="29"/>
      <c r="AE38" s="29"/>
      <c r="AF38" s="29"/>
    </row>
    <row r="39" spans="1:32" ht="19.5" customHeight="1" x14ac:dyDescent="0.3">
      <c r="A39" s="4"/>
      <c r="B39" s="3"/>
      <c r="C39" s="290" t="s">
        <v>166</v>
      </c>
      <c r="D39" s="196"/>
      <c r="E39" s="197"/>
      <c r="F39" s="39"/>
      <c r="G39" s="124"/>
      <c r="H39" s="126"/>
      <c r="I39" s="3"/>
      <c r="J39" s="126"/>
      <c r="K39" s="125"/>
      <c r="L39" s="125"/>
      <c r="M39" s="311" t="str">
        <f t="shared" si="2"/>
        <v>MOYENNE</v>
      </c>
      <c r="N39" s="196"/>
      <c r="O39" s="197"/>
      <c r="P39" s="3"/>
      <c r="Q39" s="4"/>
      <c r="R39" s="3"/>
      <c r="S39" s="134"/>
      <c r="T39" s="37"/>
      <c r="U39" s="136"/>
      <c r="V39" s="136"/>
      <c r="W39" s="136"/>
      <c r="X39" s="134"/>
      <c r="Y39" s="134"/>
      <c r="Z39" s="134"/>
      <c r="AA39" s="29"/>
      <c r="AB39" s="29"/>
      <c r="AC39" s="29"/>
      <c r="AD39" s="29"/>
      <c r="AE39" s="29"/>
      <c r="AF39" s="29"/>
    </row>
    <row r="40" spans="1:32" ht="19.5" customHeight="1" x14ac:dyDescent="0.3">
      <c r="A40" s="4"/>
      <c r="B40" s="3"/>
      <c r="C40" s="289" t="s">
        <v>25</v>
      </c>
      <c r="D40" s="196"/>
      <c r="E40" s="197"/>
      <c r="F40" s="39"/>
      <c r="G40" s="124"/>
      <c r="H40" s="126" t="s">
        <v>165</v>
      </c>
      <c r="I40" s="3"/>
      <c r="J40" s="126" t="s">
        <v>165</v>
      </c>
      <c r="K40" s="125"/>
      <c r="L40" s="125"/>
      <c r="M40" s="311" t="str">
        <f t="shared" si="2"/>
        <v>FAIBLE</v>
      </c>
      <c r="N40" s="196"/>
      <c r="O40" s="197"/>
      <c r="P40" s="3"/>
      <c r="Q40" s="4"/>
      <c r="R40" s="3"/>
      <c r="S40" s="134"/>
      <c r="T40" s="137"/>
      <c r="U40" s="138"/>
      <c r="V40" s="138"/>
      <c r="W40" s="138"/>
      <c r="X40" s="134"/>
      <c r="Y40" s="134"/>
      <c r="Z40" s="134"/>
      <c r="AA40" s="29"/>
      <c r="AB40" s="29"/>
      <c r="AC40" s="29"/>
      <c r="AD40" s="29"/>
      <c r="AE40" s="29"/>
      <c r="AF40" s="29"/>
    </row>
    <row r="41" spans="1:32" ht="12" customHeight="1" x14ac:dyDescent="0.3">
      <c r="A41" s="4"/>
      <c r="B41" s="3"/>
      <c r="C41" s="3"/>
      <c r="D41" s="3"/>
      <c r="E41" s="3"/>
      <c r="F41" s="3"/>
      <c r="G41" s="3"/>
      <c r="H41" s="81"/>
      <c r="I41" s="3"/>
      <c r="J41" s="81"/>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9" t="str">
        <f>'3. Dangers'!C32</f>
        <v xml:space="preserve">Epidémies </v>
      </c>
      <c r="D42" s="99"/>
      <c r="E42" s="296"/>
      <c r="F42" s="199"/>
      <c r="G42" s="199"/>
      <c r="H42" s="200"/>
      <c r="I42" s="100"/>
      <c r="J42" s="183"/>
      <c r="K42" s="100"/>
      <c r="L42" s="100"/>
      <c r="M42" s="100"/>
      <c r="N42" s="100"/>
      <c r="O42" s="100"/>
      <c r="P42" s="3"/>
      <c r="Q42" s="4"/>
      <c r="R42" s="3"/>
      <c r="S42" s="3"/>
      <c r="T42" s="3"/>
      <c r="U42" s="3"/>
      <c r="V42" s="3"/>
      <c r="W42" s="3"/>
      <c r="X42" s="309"/>
      <c r="Y42" s="196"/>
      <c r="Z42" s="196"/>
      <c r="AA42" s="197"/>
      <c r="AB42" s="3"/>
      <c r="AC42" s="309"/>
      <c r="AD42" s="196"/>
      <c r="AE42" s="196"/>
      <c r="AF42" s="197"/>
    </row>
    <row r="43" spans="1:32" ht="12" customHeight="1" x14ac:dyDescent="0.3">
      <c r="A43" s="4"/>
      <c r="B43" s="3"/>
      <c r="C43" s="293"/>
      <c r="D43" s="196"/>
      <c r="E43" s="196"/>
      <c r="F43" s="196"/>
      <c r="G43" s="196"/>
      <c r="H43" s="196"/>
      <c r="I43" s="196"/>
      <c r="J43" s="196"/>
      <c r="K43" s="196"/>
      <c r="L43" s="196"/>
      <c r="M43" s="196"/>
      <c r="N43" s="196"/>
      <c r="O43" s="197"/>
      <c r="P43" s="3"/>
      <c r="Q43" s="4"/>
      <c r="R43" s="3"/>
      <c r="S43" s="3"/>
      <c r="T43" s="3"/>
      <c r="U43" s="3"/>
      <c r="V43" s="3"/>
      <c r="W43" s="3"/>
      <c r="X43" s="310"/>
      <c r="Y43" s="196"/>
      <c r="Z43" s="196"/>
      <c r="AA43" s="197"/>
      <c r="AB43" s="29"/>
      <c r="AC43" s="310"/>
      <c r="AD43" s="196"/>
      <c r="AE43" s="196"/>
      <c r="AF43" s="197"/>
    </row>
    <row r="44" spans="1:32" ht="15.75" customHeight="1" x14ac:dyDescent="0.3">
      <c r="A44" s="4"/>
      <c r="B44" s="3"/>
      <c r="C44" s="291" t="s">
        <v>13</v>
      </c>
      <c r="D44" s="196"/>
      <c r="E44" s="197"/>
      <c r="F44" s="39"/>
      <c r="G44" s="123"/>
      <c r="H44" s="176" t="s">
        <v>167</v>
      </c>
      <c r="I44" s="29"/>
      <c r="J44" s="176" t="s">
        <v>168</v>
      </c>
      <c r="K44" s="123"/>
      <c r="L44" s="123"/>
      <c r="M44" s="312" t="s">
        <v>155</v>
      </c>
      <c r="N44" s="196"/>
      <c r="O44" s="197"/>
      <c r="P44" s="3"/>
      <c r="Q44" s="4"/>
      <c r="R44" s="3"/>
      <c r="S44" s="3"/>
      <c r="T44" s="3"/>
      <c r="U44" s="3"/>
      <c r="V44" s="3"/>
      <c r="W44" s="3"/>
      <c r="X44" s="132"/>
      <c r="Y44" s="132"/>
      <c r="Z44" s="132"/>
      <c r="AA44" s="132"/>
      <c r="AB44" s="29"/>
      <c r="AC44" s="132"/>
      <c r="AD44" s="132"/>
      <c r="AE44" s="132"/>
      <c r="AF44" s="132"/>
    </row>
    <row r="45" spans="1:32" ht="19.5" customHeight="1" x14ac:dyDescent="0.3">
      <c r="A45" s="4"/>
      <c r="B45" s="3"/>
      <c r="C45" s="289" t="s">
        <v>15</v>
      </c>
      <c r="D45" s="196"/>
      <c r="E45" s="197"/>
      <c r="F45" s="39"/>
      <c r="G45" s="124"/>
      <c r="H45" s="177">
        <f>'4. Vulnérabilité'!V57</f>
        <v>1</v>
      </c>
      <c r="I45" s="29"/>
      <c r="J45" s="177">
        <f>'5. Capacité'!P47</f>
        <v>0.67</v>
      </c>
      <c r="K45" s="125"/>
      <c r="L45" s="125"/>
      <c r="M45" s="311" t="str">
        <f t="shared" ref="M45:M52" si="3">IF(AND(H45&lt;&gt;"",J45&lt;&gt;""),IF((H45-J45)&lt;-0.32,"LOW",IF((H45-J45)&lt;0.33,"MODERATE","HIGH")),"")</f>
        <v>HIGH</v>
      </c>
      <c r="N45" s="196"/>
      <c r="O45" s="197"/>
      <c r="P45" s="3"/>
      <c r="Q45" s="4"/>
      <c r="R45" s="3"/>
      <c r="S45" s="139"/>
      <c r="T45" s="139"/>
      <c r="U45" s="139"/>
      <c r="V45" s="139"/>
      <c r="W45" s="139"/>
      <c r="X45" s="134"/>
      <c r="Y45" s="134"/>
      <c r="Z45" s="134"/>
      <c r="AA45" s="134"/>
      <c r="AB45" s="29"/>
      <c r="AC45" s="134"/>
      <c r="AD45" s="134"/>
      <c r="AE45" s="134"/>
      <c r="AF45" s="134"/>
    </row>
    <row r="46" spans="1:32" ht="19.5" customHeight="1" x14ac:dyDescent="0.3">
      <c r="A46" s="4"/>
      <c r="B46" s="3"/>
      <c r="C46" s="290" t="s">
        <v>16</v>
      </c>
      <c r="D46" s="196"/>
      <c r="E46" s="197"/>
      <c r="F46" s="39"/>
      <c r="G46" s="124"/>
      <c r="H46" s="178">
        <f>'4. Vulnérabilité'!V58</f>
        <v>1</v>
      </c>
      <c r="I46" s="29"/>
      <c r="J46" s="178">
        <f>'5. Capacité'!P48</f>
        <v>0.67</v>
      </c>
      <c r="K46" s="125"/>
      <c r="L46" s="125"/>
      <c r="M46" s="311" t="str">
        <f t="shared" si="3"/>
        <v>HIGH</v>
      </c>
      <c r="N46" s="196"/>
      <c r="O46" s="197"/>
      <c r="P46" s="3"/>
      <c r="Q46" s="4"/>
      <c r="R46" s="3"/>
      <c r="S46" s="134"/>
      <c r="T46" s="321"/>
      <c r="U46" s="323"/>
      <c r="V46" s="138"/>
      <c r="W46" s="138"/>
      <c r="X46" s="134"/>
      <c r="Y46" s="134"/>
      <c r="Z46" s="134"/>
      <c r="AA46" s="134"/>
      <c r="AB46" s="29"/>
      <c r="AC46" s="134"/>
      <c r="AD46" s="134"/>
      <c r="AE46" s="134"/>
      <c r="AF46" s="134"/>
    </row>
    <row r="47" spans="1:32" ht="19.5" customHeight="1" x14ac:dyDescent="0.3">
      <c r="A47" s="4"/>
      <c r="B47" s="3"/>
      <c r="C47" s="289" t="s">
        <v>17</v>
      </c>
      <c r="D47" s="196"/>
      <c r="E47" s="197"/>
      <c r="F47" s="39"/>
      <c r="G47" s="124"/>
      <c r="H47" s="177">
        <f>'4. Vulnérabilité'!V59</f>
        <v>1</v>
      </c>
      <c r="I47" s="29"/>
      <c r="J47" s="177">
        <f>'5. Capacité'!P49</f>
        <v>0.67</v>
      </c>
      <c r="K47" s="125"/>
      <c r="L47" s="125"/>
      <c r="M47" s="311" t="str">
        <f t="shared" si="3"/>
        <v>HIGH</v>
      </c>
      <c r="N47" s="196"/>
      <c r="O47" s="197"/>
      <c r="P47" s="3"/>
      <c r="Q47" s="4"/>
      <c r="R47" s="3"/>
      <c r="S47" s="134"/>
      <c r="T47" s="322"/>
      <c r="U47" s="322"/>
      <c r="V47" s="140"/>
      <c r="W47" s="140"/>
      <c r="X47" s="134"/>
      <c r="Y47" s="134"/>
      <c r="Z47" s="134"/>
      <c r="AA47" s="134"/>
      <c r="AB47" s="29"/>
      <c r="AC47" s="134"/>
      <c r="AD47" s="134"/>
      <c r="AE47" s="134"/>
      <c r="AF47" s="134"/>
    </row>
    <row r="48" spans="1:32" ht="19.5" customHeight="1" x14ac:dyDescent="0.3">
      <c r="A48" s="4"/>
      <c r="B48" s="3"/>
      <c r="C48" s="290" t="s">
        <v>110</v>
      </c>
      <c r="D48" s="196"/>
      <c r="E48" s="197"/>
      <c r="F48" s="39"/>
      <c r="G48" s="124"/>
      <c r="H48" s="178">
        <f>'4. Vulnérabilité'!V60</f>
        <v>0.67</v>
      </c>
      <c r="I48" s="29"/>
      <c r="J48" s="178">
        <f>'5. Capacité'!P50</f>
        <v>0.33</v>
      </c>
      <c r="K48" s="125"/>
      <c r="L48" s="125"/>
      <c r="M48" s="311" t="str">
        <f t="shared" si="3"/>
        <v>HIGH</v>
      </c>
      <c r="N48" s="196"/>
      <c r="O48" s="197"/>
      <c r="P48" s="3"/>
      <c r="Q48" s="4"/>
      <c r="R48" s="3"/>
      <c r="S48" s="134"/>
      <c r="T48" s="322"/>
      <c r="U48" s="322"/>
      <c r="V48" s="140"/>
      <c r="W48" s="140"/>
      <c r="X48" s="134"/>
      <c r="Y48" s="134"/>
      <c r="Z48" s="134"/>
      <c r="AA48" s="134"/>
      <c r="AB48" s="29"/>
      <c r="AC48" s="134"/>
      <c r="AD48" s="134"/>
      <c r="AE48" s="134"/>
      <c r="AF48" s="134"/>
    </row>
    <row r="49" spans="1:32" ht="19.5" customHeight="1" x14ac:dyDescent="0.3">
      <c r="A49" s="4"/>
      <c r="B49" s="3"/>
      <c r="C49" s="289" t="s">
        <v>19</v>
      </c>
      <c r="D49" s="196"/>
      <c r="E49" s="197"/>
      <c r="F49" s="39"/>
      <c r="G49" s="124"/>
      <c r="H49" s="177">
        <f>'4. Vulnérabilité'!V61</f>
        <v>1</v>
      </c>
      <c r="I49" s="29"/>
      <c r="J49" s="177">
        <f>'5. Capacité'!P51</f>
        <v>1</v>
      </c>
      <c r="K49" s="125"/>
      <c r="L49" s="125"/>
      <c r="M49" s="311" t="str">
        <f t="shared" si="3"/>
        <v>MODERATE</v>
      </c>
      <c r="N49" s="196"/>
      <c r="O49" s="197"/>
      <c r="P49" s="3"/>
      <c r="Q49" s="4"/>
      <c r="R49" s="3"/>
      <c r="S49" s="134"/>
      <c r="T49" s="322"/>
      <c r="U49" s="322"/>
      <c r="V49" s="140"/>
      <c r="W49" s="140"/>
      <c r="X49" s="134"/>
      <c r="Y49" s="134"/>
      <c r="Z49" s="134"/>
      <c r="AA49" s="134"/>
      <c r="AB49" s="29"/>
      <c r="AC49" s="134"/>
      <c r="AD49" s="134"/>
      <c r="AE49" s="134"/>
      <c r="AF49" s="134"/>
    </row>
    <row r="50" spans="1:32" ht="19.5" customHeight="1" x14ac:dyDescent="0.3">
      <c r="A50" s="4"/>
      <c r="B50" s="3"/>
      <c r="C50" s="290" t="s">
        <v>112</v>
      </c>
      <c r="D50" s="196"/>
      <c r="E50" s="197"/>
      <c r="F50" s="39"/>
      <c r="G50" s="124"/>
      <c r="H50" s="178">
        <f>'4. Vulnérabilité'!V62</f>
        <v>0.67</v>
      </c>
      <c r="I50" s="29"/>
      <c r="J50" s="178">
        <f>'5. Capacité'!P52</f>
        <v>0.67</v>
      </c>
      <c r="K50" s="125"/>
      <c r="L50" s="125"/>
      <c r="M50" s="311" t="str">
        <f t="shared" si="3"/>
        <v>MODERATE</v>
      </c>
      <c r="N50" s="196"/>
      <c r="O50" s="197"/>
      <c r="P50" s="3"/>
      <c r="Q50" s="4"/>
      <c r="R50" s="3"/>
      <c r="S50" s="134"/>
      <c r="T50" s="256"/>
      <c r="U50" s="256"/>
      <c r="V50" s="141"/>
      <c r="W50" s="141"/>
      <c r="X50" s="134"/>
      <c r="Y50" s="134"/>
      <c r="Z50" s="134"/>
      <c r="AA50" s="134"/>
      <c r="AB50" s="29"/>
      <c r="AC50" s="134"/>
      <c r="AD50" s="134"/>
      <c r="AE50" s="134"/>
      <c r="AF50" s="134"/>
    </row>
    <row r="51" spans="1:32" ht="19.5" customHeight="1" x14ac:dyDescent="0.3">
      <c r="A51" s="4"/>
      <c r="B51" s="3"/>
      <c r="C51" s="289" t="s">
        <v>113</v>
      </c>
      <c r="D51" s="196"/>
      <c r="E51" s="197"/>
      <c r="F51" s="39"/>
      <c r="G51" s="124"/>
      <c r="H51" s="177">
        <f>'4. Vulnérabilité'!V63</f>
        <v>0.67</v>
      </c>
      <c r="I51" s="29"/>
      <c r="J51" s="177">
        <f>'5. Capacité'!P53</f>
        <v>0.67</v>
      </c>
      <c r="K51" s="125"/>
      <c r="L51" s="125"/>
      <c r="M51" s="311" t="str">
        <f t="shared" si="3"/>
        <v>MODERATE</v>
      </c>
      <c r="N51" s="196"/>
      <c r="O51" s="197"/>
      <c r="P51" s="3"/>
      <c r="Q51" s="4"/>
      <c r="R51" s="3"/>
      <c r="S51" s="134"/>
      <c r="T51" s="321"/>
      <c r="U51" s="323"/>
      <c r="V51" s="138"/>
      <c r="W51" s="138"/>
      <c r="X51" s="134"/>
      <c r="Y51" s="134"/>
      <c r="Z51" s="134"/>
      <c r="AA51" s="134"/>
      <c r="AB51" s="29"/>
      <c r="AC51" s="134"/>
      <c r="AD51" s="134"/>
      <c r="AE51" s="134"/>
      <c r="AF51" s="134"/>
    </row>
    <row r="52" spans="1:32" ht="19.5" customHeight="1" x14ac:dyDescent="0.3">
      <c r="A52" s="4"/>
      <c r="B52" s="3"/>
      <c r="C52" s="290" t="s">
        <v>114</v>
      </c>
      <c r="D52" s="196"/>
      <c r="E52" s="197"/>
      <c r="F52" s="39"/>
      <c r="G52" s="124"/>
      <c r="H52" s="178">
        <f>'4. Vulnérabilité'!V64</f>
        <v>0.33</v>
      </c>
      <c r="I52" s="29"/>
      <c r="J52" s="178">
        <f>'5. Capacité'!P54</f>
        <v>0.67</v>
      </c>
      <c r="K52" s="125"/>
      <c r="L52" s="125"/>
      <c r="M52" s="311" t="str">
        <f t="shared" si="3"/>
        <v>LOW</v>
      </c>
      <c r="N52" s="196"/>
      <c r="O52" s="197"/>
      <c r="P52" s="3"/>
      <c r="Q52" s="4"/>
      <c r="R52" s="3"/>
      <c r="S52" s="134"/>
      <c r="T52" s="322"/>
      <c r="U52" s="322"/>
      <c r="V52" s="140"/>
      <c r="W52" s="140"/>
      <c r="X52" s="134"/>
      <c r="Y52" s="134"/>
      <c r="Z52" s="134"/>
      <c r="AA52" s="134"/>
      <c r="AB52" s="29"/>
      <c r="AC52" s="134"/>
      <c r="AD52" s="134"/>
      <c r="AE52" s="134"/>
      <c r="AF52" s="134"/>
    </row>
    <row r="53" spans="1:32" ht="19.5" customHeight="1" x14ac:dyDescent="0.3">
      <c r="A53" s="4"/>
      <c r="B53" s="3"/>
      <c r="C53" s="289" t="s">
        <v>164</v>
      </c>
      <c r="D53" s="196"/>
      <c r="E53" s="197"/>
      <c r="F53" s="39"/>
      <c r="G53" s="124"/>
      <c r="H53" s="126" t="s">
        <v>165</v>
      </c>
      <c r="I53" s="29"/>
      <c r="J53" s="126" t="s">
        <v>165</v>
      </c>
      <c r="K53" s="125"/>
      <c r="L53" s="125"/>
      <c r="M53" s="311" t="str">
        <f t="shared" ref="M53:M55" si="4">M38</f>
        <v>MOYENNE</v>
      </c>
      <c r="N53" s="196"/>
      <c r="O53" s="197"/>
      <c r="P53" s="3"/>
      <c r="Q53" s="4"/>
      <c r="R53" s="3"/>
      <c r="S53" s="134"/>
      <c r="T53" s="256"/>
      <c r="U53" s="256"/>
      <c r="V53" s="141"/>
      <c r="W53" s="141"/>
      <c r="X53" s="134"/>
      <c r="Y53" s="134"/>
      <c r="Z53" s="134"/>
      <c r="AA53" s="134"/>
      <c r="AB53" s="29"/>
      <c r="AC53" s="134"/>
      <c r="AD53" s="134"/>
      <c r="AE53" s="134"/>
      <c r="AF53" s="134"/>
    </row>
    <row r="54" spans="1:32" ht="19.5" customHeight="1" x14ac:dyDescent="0.3">
      <c r="A54" s="4"/>
      <c r="B54" s="3"/>
      <c r="C54" s="290" t="s">
        <v>166</v>
      </c>
      <c r="D54" s="196"/>
      <c r="E54" s="197"/>
      <c r="F54" s="39"/>
      <c r="G54" s="124"/>
      <c r="H54" s="126"/>
      <c r="I54" s="29"/>
      <c r="J54" s="126"/>
      <c r="K54" s="125"/>
      <c r="L54" s="125"/>
      <c r="M54" s="311" t="str">
        <f t="shared" si="4"/>
        <v>MOYENNE</v>
      </c>
      <c r="N54" s="196"/>
      <c r="O54" s="197"/>
      <c r="P54" s="3"/>
      <c r="Q54" s="4"/>
      <c r="R54" s="3"/>
      <c r="S54" s="134"/>
      <c r="T54" s="142"/>
      <c r="U54" s="140"/>
      <c r="V54" s="140"/>
      <c r="W54" s="140"/>
      <c r="X54" s="134"/>
      <c r="Y54" s="134"/>
      <c r="Z54" s="134"/>
      <c r="AA54" s="134"/>
      <c r="AB54" s="29"/>
      <c r="AC54" s="134"/>
      <c r="AD54" s="134"/>
      <c r="AE54" s="134"/>
      <c r="AF54" s="134"/>
    </row>
    <row r="55" spans="1:32" ht="19.5" customHeight="1" x14ac:dyDescent="0.3">
      <c r="A55" s="4"/>
      <c r="B55" s="3"/>
      <c r="C55" s="289" t="s">
        <v>25</v>
      </c>
      <c r="D55" s="196"/>
      <c r="E55" s="197"/>
      <c r="F55" s="39"/>
      <c r="G55" s="124"/>
      <c r="H55" s="126" t="s">
        <v>165</v>
      </c>
      <c r="I55" s="29"/>
      <c r="J55" s="126" t="s">
        <v>165</v>
      </c>
      <c r="K55" s="125"/>
      <c r="L55" s="125"/>
      <c r="M55" s="324" t="str">
        <f t="shared" si="4"/>
        <v>FAIBLE</v>
      </c>
      <c r="N55" s="196"/>
      <c r="O55" s="197"/>
      <c r="P55" s="3"/>
      <c r="Q55" s="4"/>
      <c r="R55" s="3"/>
      <c r="S55" s="134"/>
      <c r="T55" s="137"/>
      <c r="U55" s="138"/>
      <c r="V55" s="138"/>
      <c r="W55" s="138"/>
      <c r="X55" s="134"/>
      <c r="Y55" s="134"/>
      <c r="Z55" s="134"/>
      <c r="AA55" s="134"/>
      <c r="AB55" s="29"/>
      <c r="AC55" s="134"/>
      <c r="AD55" s="134"/>
      <c r="AE55" s="134"/>
      <c r="AF55" s="134"/>
    </row>
    <row r="56" spans="1:32" ht="12" customHeight="1" x14ac:dyDescent="0.3">
      <c r="A56" s="4"/>
      <c r="B56" s="3"/>
      <c r="C56" s="3"/>
      <c r="D56" s="3"/>
      <c r="E56" s="3"/>
      <c r="F56" s="3"/>
      <c r="G56" s="3"/>
      <c r="H56" s="81"/>
      <c r="I56" s="3"/>
      <c r="J56" s="81"/>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9"/>
      <c r="I57" s="4"/>
      <c r="J57" s="179"/>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81"/>
      <c r="I58" s="3"/>
      <c r="J58" s="81"/>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81"/>
      <c r="I59" s="3"/>
      <c r="J59" s="81"/>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81"/>
      <c r="I60" s="3"/>
      <c r="J60" s="81"/>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81"/>
      <c r="I61" s="3"/>
      <c r="J61" s="81"/>
      <c r="K61" s="3"/>
      <c r="L61" s="3"/>
      <c r="M61" s="3" t="s">
        <v>169</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81"/>
      <c r="I62" s="3"/>
      <c r="J62" s="81"/>
      <c r="K62" s="3"/>
      <c r="L62" s="3"/>
      <c r="M62" s="3" t="s">
        <v>170</v>
      </c>
      <c r="N62" s="3" t="s">
        <v>171</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81"/>
      <c r="I63" s="3"/>
      <c r="J63" s="81"/>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81"/>
      <c r="I64" s="3"/>
      <c r="J64" s="81"/>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81"/>
      <c r="I65" s="3"/>
      <c r="J65" s="81"/>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81"/>
      <c r="I66" s="3"/>
      <c r="J66" s="81"/>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81"/>
      <c r="I67" s="3"/>
      <c r="J67" s="81"/>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81"/>
      <c r="I68" s="3"/>
      <c r="J68" s="81"/>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81"/>
      <c r="I69" s="3"/>
      <c r="J69" s="81"/>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81"/>
      <c r="I70" s="3"/>
      <c r="J70" s="81"/>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81"/>
      <c r="I71" s="3"/>
      <c r="J71" s="81"/>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81"/>
      <c r="I72" s="3"/>
      <c r="J72" s="81"/>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81"/>
      <c r="I73" s="3"/>
      <c r="J73" s="81"/>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81"/>
      <c r="I74" s="3"/>
      <c r="J74" s="81"/>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81"/>
      <c r="I75" s="3"/>
      <c r="J75" s="81"/>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81"/>
      <c r="I76" s="3"/>
      <c r="J76" s="81"/>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81"/>
      <c r="I77" s="3"/>
      <c r="J77" s="81"/>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81"/>
      <c r="I78" s="3"/>
      <c r="J78" s="81"/>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81"/>
      <c r="I79" s="3"/>
      <c r="J79" s="81"/>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81"/>
      <c r="I80" s="3"/>
      <c r="J80" s="81"/>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81"/>
      <c r="I81" s="3"/>
      <c r="J81" s="81"/>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81"/>
      <c r="I82" s="3"/>
      <c r="J82" s="81"/>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81"/>
      <c r="I83" s="3"/>
      <c r="J83" s="81"/>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81"/>
      <c r="I84" s="3"/>
      <c r="J84" s="81"/>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81"/>
      <c r="I85" s="3"/>
      <c r="J85" s="81"/>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81"/>
      <c r="I86" s="3"/>
      <c r="J86" s="81"/>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81"/>
      <c r="I87" s="3"/>
      <c r="J87" s="81"/>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81"/>
      <c r="I88" s="3"/>
      <c r="J88" s="81"/>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81"/>
      <c r="I89" s="3"/>
      <c r="J89" s="81"/>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81"/>
      <c r="I90" s="3"/>
      <c r="J90" s="81"/>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81"/>
      <c r="I91" s="3"/>
      <c r="J91" s="81"/>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81"/>
      <c r="I92" s="3"/>
      <c r="J92" s="81"/>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81"/>
      <c r="I93" s="3"/>
      <c r="J93" s="81"/>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81"/>
      <c r="I94" s="3"/>
      <c r="J94" s="81"/>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81"/>
      <c r="I95" s="3"/>
      <c r="J95" s="81"/>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81"/>
      <c r="I96" s="3"/>
      <c r="J96" s="81"/>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81"/>
      <c r="I97" s="3"/>
      <c r="J97" s="81"/>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81"/>
      <c r="I98" s="3"/>
      <c r="J98" s="81"/>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81"/>
      <c r="I99" s="3"/>
      <c r="J99" s="81"/>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81"/>
      <c r="I100" s="3"/>
      <c r="J100" s="81"/>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81"/>
      <c r="I101" s="3"/>
      <c r="J101" s="81"/>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81"/>
      <c r="I102" s="3"/>
      <c r="J102" s="81"/>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81"/>
      <c r="I103" s="3"/>
      <c r="J103" s="81"/>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81"/>
      <c r="I104" s="3"/>
      <c r="J104" s="81"/>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81"/>
      <c r="I105" s="3"/>
      <c r="J105" s="81"/>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81"/>
      <c r="I106" s="3"/>
      <c r="J106" s="81"/>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81"/>
      <c r="I107" s="3"/>
      <c r="J107" s="81"/>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81"/>
      <c r="I108" s="3"/>
      <c r="J108" s="81"/>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81"/>
      <c r="I109" s="3"/>
      <c r="J109" s="81"/>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81"/>
      <c r="I110" s="3"/>
      <c r="J110" s="81"/>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81"/>
      <c r="I111" s="3"/>
      <c r="J111" s="81"/>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81"/>
      <c r="I112" s="3"/>
      <c r="J112" s="81"/>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81"/>
      <c r="I113" s="3"/>
      <c r="J113" s="81"/>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81"/>
      <c r="I114" s="3"/>
      <c r="J114" s="81"/>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81"/>
      <c r="I115" s="3"/>
      <c r="J115" s="81"/>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81"/>
      <c r="I116" s="3"/>
      <c r="J116" s="81"/>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81"/>
      <c r="I117" s="3"/>
      <c r="J117" s="81"/>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81"/>
      <c r="I118" s="3"/>
      <c r="J118" s="81"/>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81"/>
      <c r="I119" s="3"/>
      <c r="J119" s="81"/>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81"/>
      <c r="I120" s="3"/>
      <c r="J120" s="81"/>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81"/>
      <c r="I121" s="3"/>
      <c r="J121" s="81"/>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81"/>
      <c r="I122" s="3"/>
      <c r="J122" s="81"/>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81"/>
      <c r="I123" s="3"/>
      <c r="J123" s="81"/>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81"/>
      <c r="I124" s="3"/>
      <c r="J124" s="81"/>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81"/>
      <c r="I125" s="3"/>
      <c r="J125" s="81"/>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81"/>
      <c r="I126" s="3"/>
      <c r="J126" s="81"/>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81"/>
      <c r="I127" s="3"/>
      <c r="J127" s="81"/>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81"/>
      <c r="I128" s="3"/>
      <c r="J128" s="81"/>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81"/>
      <c r="I129" s="3"/>
      <c r="J129" s="81"/>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81"/>
      <c r="I130" s="3"/>
      <c r="J130" s="81"/>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81"/>
      <c r="I131" s="3"/>
      <c r="J131" s="81"/>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81"/>
      <c r="I132" s="3"/>
      <c r="J132" s="81"/>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81"/>
      <c r="I133" s="3"/>
      <c r="J133" s="81"/>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81"/>
      <c r="I134" s="3"/>
      <c r="J134" s="81"/>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81"/>
      <c r="I135" s="3"/>
      <c r="J135" s="81"/>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81"/>
      <c r="I136" s="3"/>
      <c r="J136" s="81"/>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81"/>
      <c r="I137" s="3"/>
      <c r="J137" s="81"/>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81"/>
      <c r="I138" s="3"/>
      <c r="J138" s="81"/>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81"/>
      <c r="I139" s="3"/>
      <c r="J139" s="81"/>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81"/>
      <c r="I140" s="3"/>
      <c r="J140" s="81"/>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81"/>
      <c r="I141" s="3"/>
      <c r="J141" s="81"/>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81"/>
      <c r="I142" s="3"/>
      <c r="J142" s="81"/>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81"/>
      <c r="I143" s="3"/>
      <c r="J143" s="81"/>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81"/>
      <c r="I144" s="3"/>
      <c r="J144" s="81"/>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81"/>
      <c r="I145" s="3"/>
      <c r="J145" s="81"/>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81"/>
      <c r="I146" s="3"/>
      <c r="J146" s="81"/>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81"/>
      <c r="I147" s="3"/>
      <c r="J147" s="81"/>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81"/>
      <c r="I148" s="3"/>
      <c r="J148" s="81"/>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81"/>
      <c r="I149" s="3"/>
      <c r="J149" s="81"/>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81"/>
      <c r="I150" s="3"/>
      <c r="J150" s="81"/>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81"/>
      <c r="I151" s="3"/>
      <c r="J151" s="81"/>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81"/>
      <c r="I152" s="3"/>
      <c r="J152" s="81"/>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81"/>
      <c r="I153" s="3"/>
      <c r="J153" s="81"/>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81"/>
      <c r="I154" s="3"/>
      <c r="J154" s="81"/>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81"/>
      <c r="I155" s="3"/>
      <c r="J155" s="81"/>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81"/>
      <c r="I156" s="3"/>
      <c r="J156" s="81"/>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81"/>
      <c r="I157" s="3"/>
      <c r="J157" s="81"/>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81"/>
      <c r="I158" s="3"/>
      <c r="J158" s="81"/>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81"/>
      <c r="I159" s="3"/>
      <c r="J159" s="81"/>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81"/>
      <c r="I160" s="3"/>
      <c r="J160" s="81"/>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81"/>
      <c r="I161" s="3"/>
      <c r="J161" s="81"/>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81"/>
      <c r="I162" s="3"/>
      <c r="J162" s="81"/>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81"/>
      <c r="I163" s="3"/>
      <c r="J163" s="81"/>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81"/>
      <c r="I164" s="3"/>
      <c r="J164" s="81"/>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81"/>
      <c r="I165" s="3"/>
      <c r="J165" s="81"/>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81"/>
      <c r="I166" s="3"/>
      <c r="J166" s="81"/>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81"/>
      <c r="I167" s="3"/>
      <c r="J167" s="81"/>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81"/>
      <c r="I168" s="3"/>
      <c r="J168" s="81"/>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81"/>
      <c r="I169" s="3"/>
      <c r="J169" s="81"/>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81"/>
      <c r="I170" s="3"/>
      <c r="J170" s="81"/>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81"/>
      <c r="I171" s="3"/>
      <c r="J171" s="81"/>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81"/>
      <c r="I172" s="3"/>
      <c r="J172" s="81"/>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81"/>
      <c r="I173" s="3"/>
      <c r="J173" s="81"/>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81"/>
      <c r="I174" s="3"/>
      <c r="J174" s="81"/>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81"/>
      <c r="I175" s="3"/>
      <c r="J175" s="81"/>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81"/>
      <c r="I176" s="3"/>
      <c r="J176" s="81"/>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81"/>
      <c r="I177" s="3"/>
      <c r="J177" s="81"/>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81"/>
      <c r="I178" s="3"/>
      <c r="J178" s="81"/>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81"/>
      <c r="I179" s="3"/>
      <c r="J179" s="81"/>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81"/>
      <c r="I180" s="3"/>
      <c r="J180" s="81"/>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81"/>
      <c r="I181" s="3"/>
      <c r="J181" s="81"/>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81"/>
      <c r="I182" s="3"/>
      <c r="J182" s="81"/>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81"/>
      <c r="I183" s="3"/>
      <c r="J183" s="81"/>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81"/>
      <c r="I184" s="3"/>
      <c r="J184" s="81"/>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81"/>
      <c r="I185" s="3"/>
      <c r="J185" s="81"/>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81"/>
      <c r="I186" s="3"/>
      <c r="J186" s="81"/>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81"/>
      <c r="I187" s="3"/>
      <c r="J187" s="81"/>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81"/>
      <c r="I188" s="3"/>
      <c r="J188" s="81"/>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81"/>
      <c r="I189" s="3"/>
      <c r="J189" s="81"/>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81"/>
      <c r="I190" s="3"/>
      <c r="J190" s="81"/>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81"/>
      <c r="I191" s="3"/>
      <c r="J191" s="81"/>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81"/>
      <c r="I192" s="3"/>
      <c r="J192" s="81"/>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81"/>
      <c r="I193" s="3"/>
      <c r="J193" s="81"/>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81"/>
      <c r="I194" s="3"/>
      <c r="J194" s="81"/>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81"/>
      <c r="I195" s="3"/>
      <c r="J195" s="81"/>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81"/>
      <c r="I196" s="3"/>
      <c r="J196" s="81"/>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81"/>
      <c r="I197" s="3"/>
      <c r="J197" s="81"/>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81"/>
      <c r="I198" s="3"/>
      <c r="J198" s="81"/>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81"/>
      <c r="I199" s="3"/>
      <c r="J199" s="81"/>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81"/>
      <c r="I200" s="3"/>
      <c r="J200" s="81"/>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81"/>
      <c r="I201" s="3"/>
      <c r="J201" s="81"/>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81"/>
      <c r="I202" s="3"/>
      <c r="J202" s="81"/>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81"/>
      <c r="I203" s="3"/>
      <c r="J203" s="81"/>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81"/>
      <c r="I204" s="3"/>
      <c r="J204" s="81"/>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81"/>
      <c r="I205" s="3"/>
      <c r="J205" s="81"/>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81"/>
      <c r="I206" s="3"/>
      <c r="J206" s="81"/>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81"/>
      <c r="I207" s="3"/>
      <c r="J207" s="81"/>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81"/>
      <c r="I208" s="3"/>
      <c r="J208" s="81"/>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81"/>
      <c r="I209" s="3"/>
      <c r="J209" s="81"/>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81"/>
      <c r="I210" s="3"/>
      <c r="J210" s="81"/>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81"/>
      <c r="I211" s="3"/>
      <c r="J211" s="81"/>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81"/>
      <c r="I212" s="3"/>
      <c r="J212" s="81"/>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81"/>
      <c r="I213" s="3"/>
      <c r="J213" s="81"/>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81"/>
      <c r="I214" s="3"/>
      <c r="J214" s="81"/>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81"/>
      <c r="I215" s="3"/>
      <c r="J215" s="81"/>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81"/>
      <c r="I216" s="3"/>
      <c r="J216" s="81"/>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81"/>
      <c r="I217" s="3"/>
      <c r="J217" s="81"/>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81"/>
      <c r="I218" s="3"/>
      <c r="J218" s="81"/>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81"/>
      <c r="I219" s="3"/>
      <c r="J219" s="81"/>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81"/>
      <c r="I220" s="3"/>
      <c r="J220" s="81"/>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81"/>
      <c r="I221" s="3"/>
      <c r="J221" s="81"/>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81"/>
      <c r="I222" s="3"/>
      <c r="J222" s="81"/>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81"/>
      <c r="I223" s="3"/>
      <c r="J223" s="81"/>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81"/>
      <c r="I224" s="3"/>
      <c r="J224" s="81"/>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81"/>
      <c r="I225" s="3"/>
      <c r="J225" s="81"/>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81"/>
      <c r="I226" s="3"/>
      <c r="J226" s="81"/>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81"/>
      <c r="I227" s="3"/>
      <c r="J227" s="81"/>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81"/>
      <c r="I228" s="3"/>
      <c r="J228" s="81"/>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81"/>
      <c r="I229" s="3"/>
      <c r="J229" s="81"/>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81"/>
      <c r="I230" s="3"/>
      <c r="J230" s="81"/>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81"/>
      <c r="I231" s="3"/>
      <c r="J231" s="81"/>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81"/>
      <c r="I232" s="3"/>
      <c r="J232" s="81"/>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81"/>
      <c r="I233" s="3"/>
      <c r="J233" s="81"/>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81"/>
      <c r="I234" s="3"/>
      <c r="J234" s="81"/>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81"/>
      <c r="I235" s="3"/>
      <c r="J235" s="81"/>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81"/>
      <c r="I236" s="3"/>
      <c r="J236" s="81"/>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81"/>
      <c r="I237" s="3"/>
      <c r="J237" s="81"/>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81"/>
      <c r="I238" s="3"/>
      <c r="J238" s="81"/>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81"/>
      <c r="I239" s="3"/>
      <c r="J239" s="81"/>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81"/>
      <c r="I240" s="3"/>
      <c r="J240" s="81"/>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81"/>
      <c r="I241" s="3"/>
      <c r="J241" s="81"/>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81"/>
      <c r="I242" s="3"/>
      <c r="J242" s="81"/>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81"/>
      <c r="I243" s="3"/>
      <c r="J243" s="81"/>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81"/>
      <c r="I244" s="3"/>
      <c r="J244" s="81"/>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81"/>
      <c r="I245" s="3"/>
      <c r="J245" s="81"/>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81"/>
      <c r="I246" s="3"/>
      <c r="J246" s="81"/>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81"/>
      <c r="I247" s="3"/>
      <c r="J247" s="81"/>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81"/>
      <c r="I248" s="3"/>
      <c r="J248" s="81"/>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81"/>
      <c r="I249" s="3"/>
      <c r="J249" s="81"/>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81"/>
      <c r="I250" s="3"/>
      <c r="J250" s="81"/>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81"/>
      <c r="I251" s="3"/>
      <c r="J251" s="81"/>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81"/>
      <c r="I252" s="3"/>
      <c r="J252" s="81"/>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81"/>
      <c r="I253" s="3"/>
      <c r="J253" s="81"/>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81"/>
      <c r="I254" s="3"/>
      <c r="J254" s="81"/>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81"/>
      <c r="I255" s="3"/>
      <c r="J255" s="81"/>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81"/>
      <c r="I256" s="3"/>
      <c r="J256" s="81"/>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81"/>
      <c r="I257" s="3"/>
      <c r="J257" s="81"/>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81"/>
      <c r="I258" s="3"/>
      <c r="J258" s="81"/>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81"/>
      <c r="I259" s="3"/>
      <c r="J259" s="81"/>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81"/>
      <c r="I260" s="3"/>
      <c r="J260" s="81"/>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81"/>
      <c r="I261" s="3"/>
      <c r="J261" s="81"/>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81"/>
      <c r="I262" s="3"/>
      <c r="J262" s="81"/>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81"/>
      <c r="I263" s="3"/>
      <c r="J263" s="81"/>
      <c r="K263" s="3"/>
      <c r="L263" s="3"/>
      <c r="M263" s="143">
        <v>1.0000000000000013</v>
      </c>
      <c r="N263" s="143">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81"/>
      <c r="I264" s="3"/>
      <c r="J264" s="81"/>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81"/>
      <c r="I265" s="3"/>
      <c r="J265" s="81"/>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81"/>
      <c r="I266" s="3"/>
      <c r="J266" s="81"/>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81"/>
      <c r="I267" s="3"/>
      <c r="J267" s="81"/>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81"/>
      <c r="I268" s="3"/>
      <c r="J268" s="81"/>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81"/>
      <c r="I269" s="3"/>
      <c r="J269" s="81"/>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81"/>
      <c r="I270" s="3"/>
      <c r="J270" s="81"/>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81"/>
      <c r="I271" s="3"/>
      <c r="J271" s="81"/>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81"/>
      <c r="I272" s="3"/>
      <c r="J272" s="81"/>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81"/>
      <c r="I273" s="3"/>
      <c r="J273" s="81"/>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81"/>
      <c r="I274" s="3"/>
      <c r="J274" s="81"/>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81"/>
      <c r="I275" s="3"/>
      <c r="J275" s="81"/>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81"/>
      <c r="I276" s="3"/>
      <c r="J276" s="81"/>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81"/>
      <c r="I277" s="3"/>
      <c r="J277" s="81"/>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81"/>
      <c r="I278" s="3"/>
      <c r="J278" s="81"/>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81"/>
      <c r="I279" s="3"/>
      <c r="J279" s="81"/>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81"/>
      <c r="I280" s="3"/>
      <c r="J280" s="81"/>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81"/>
      <c r="I281" s="3"/>
      <c r="J281" s="81"/>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81"/>
      <c r="I282" s="3"/>
      <c r="J282" s="81"/>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81"/>
      <c r="I283" s="3"/>
      <c r="J283" s="81"/>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81"/>
      <c r="I284" s="3"/>
      <c r="J284" s="81"/>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81"/>
      <c r="I285" s="3"/>
      <c r="J285" s="81"/>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81"/>
      <c r="I286" s="3"/>
      <c r="J286" s="81"/>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81"/>
      <c r="I287" s="3"/>
      <c r="J287" s="81"/>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81"/>
      <c r="I288" s="3"/>
      <c r="J288" s="81"/>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81"/>
      <c r="I289" s="3"/>
      <c r="J289" s="81"/>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81"/>
      <c r="I290" s="3"/>
      <c r="J290" s="81"/>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81"/>
      <c r="I291" s="3"/>
      <c r="J291" s="81"/>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81"/>
      <c r="I292" s="3"/>
      <c r="J292" s="81"/>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81"/>
      <c r="I293" s="3"/>
      <c r="J293" s="81"/>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81"/>
      <c r="I294" s="3"/>
      <c r="J294" s="81"/>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81"/>
      <c r="I295" s="3"/>
      <c r="J295" s="81"/>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81"/>
      <c r="I296" s="3"/>
      <c r="J296" s="81"/>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81"/>
      <c r="I297" s="3"/>
      <c r="J297" s="81"/>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81"/>
      <c r="I298" s="3"/>
      <c r="J298" s="81"/>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81"/>
      <c r="I299" s="3"/>
      <c r="J299" s="81"/>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81"/>
      <c r="I300" s="3"/>
      <c r="J300" s="81"/>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81"/>
      <c r="I301" s="3"/>
      <c r="J301" s="81"/>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81"/>
      <c r="I302" s="3"/>
      <c r="J302" s="81"/>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81"/>
      <c r="I303" s="3"/>
      <c r="J303" s="81"/>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81"/>
      <c r="I304" s="3"/>
      <c r="J304" s="81"/>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81"/>
      <c r="I305" s="3"/>
      <c r="J305" s="81"/>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81"/>
      <c r="I306" s="3"/>
      <c r="J306" s="81"/>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81"/>
      <c r="I307" s="3"/>
      <c r="J307" s="81"/>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81"/>
      <c r="I308" s="3"/>
      <c r="J308" s="81"/>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81"/>
      <c r="I309" s="3"/>
      <c r="J309" s="81"/>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81"/>
      <c r="I310" s="3"/>
      <c r="J310" s="81"/>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81"/>
      <c r="I311" s="3"/>
      <c r="J311" s="81"/>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81"/>
      <c r="I312" s="3"/>
      <c r="J312" s="81"/>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81"/>
      <c r="I313" s="3"/>
      <c r="J313" s="81"/>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81"/>
      <c r="I314" s="3"/>
      <c r="J314" s="81"/>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81"/>
      <c r="I315" s="3"/>
      <c r="J315" s="81"/>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81"/>
      <c r="I316" s="3"/>
      <c r="J316" s="81"/>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81"/>
      <c r="I317" s="3"/>
      <c r="J317" s="81"/>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81"/>
      <c r="I318" s="3"/>
      <c r="J318" s="81"/>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81"/>
      <c r="I319" s="3"/>
      <c r="J319" s="81"/>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81"/>
      <c r="I320" s="3"/>
      <c r="J320" s="81"/>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81"/>
      <c r="I321" s="3"/>
      <c r="J321" s="81"/>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81"/>
      <c r="I322" s="3"/>
      <c r="J322" s="81"/>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81"/>
      <c r="I323" s="3"/>
      <c r="J323" s="81"/>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81"/>
      <c r="I324" s="3"/>
      <c r="J324" s="81"/>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81"/>
      <c r="I325" s="3"/>
      <c r="J325" s="81"/>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81"/>
      <c r="I326" s="3"/>
      <c r="J326" s="81"/>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81"/>
      <c r="I327" s="3"/>
      <c r="J327" s="81"/>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81"/>
      <c r="I328" s="3"/>
      <c r="J328" s="81"/>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81"/>
      <c r="I329" s="3"/>
      <c r="J329" s="81"/>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81"/>
      <c r="I330" s="3"/>
      <c r="J330" s="81"/>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81"/>
      <c r="I331" s="3"/>
      <c r="J331" s="81"/>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81"/>
      <c r="I332" s="3"/>
      <c r="J332" s="81"/>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81"/>
      <c r="I333" s="3"/>
      <c r="J333" s="81"/>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81"/>
      <c r="I334" s="3"/>
      <c r="J334" s="81"/>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81"/>
      <c r="I335" s="3"/>
      <c r="J335" s="81"/>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81"/>
      <c r="I336" s="3"/>
      <c r="J336" s="81"/>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81"/>
      <c r="I337" s="3"/>
      <c r="J337" s="81"/>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81"/>
      <c r="I338" s="3"/>
      <c r="J338" s="81"/>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81"/>
      <c r="I339" s="3"/>
      <c r="J339" s="81"/>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81"/>
      <c r="I340" s="3"/>
      <c r="J340" s="81"/>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81"/>
      <c r="I341" s="3"/>
      <c r="J341" s="81"/>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81"/>
      <c r="I342" s="3"/>
      <c r="J342" s="81"/>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81"/>
      <c r="I343" s="3"/>
      <c r="J343" s="81"/>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81"/>
      <c r="I344" s="3"/>
      <c r="J344" s="81"/>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81"/>
      <c r="I345" s="3"/>
      <c r="J345" s="81"/>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81"/>
      <c r="I346" s="3"/>
      <c r="J346" s="81"/>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81"/>
      <c r="I347" s="3"/>
      <c r="J347" s="81"/>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81"/>
      <c r="I348" s="3"/>
      <c r="J348" s="81"/>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81"/>
      <c r="I349" s="3"/>
      <c r="J349" s="81"/>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81"/>
      <c r="I350" s="3"/>
      <c r="J350" s="81"/>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81"/>
      <c r="I351" s="3"/>
      <c r="J351" s="81"/>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81"/>
      <c r="I352" s="3"/>
      <c r="J352" s="81"/>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81"/>
      <c r="I353" s="3"/>
      <c r="J353" s="81"/>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81"/>
      <c r="I354" s="3"/>
      <c r="J354" s="81"/>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81"/>
      <c r="I355" s="3"/>
      <c r="J355" s="81"/>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81"/>
      <c r="I356" s="3"/>
      <c r="J356" s="81"/>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81"/>
      <c r="I357" s="3"/>
      <c r="J357" s="81"/>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81"/>
      <c r="I358" s="3"/>
      <c r="J358" s="81"/>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81"/>
      <c r="I359" s="3"/>
      <c r="J359" s="81"/>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81"/>
      <c r="I360" s="3"/>
      <c r="J360" s="81"/>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81"/>
      <c r="I361" s="3"/>
      <c r="J361" s="81"/>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81"/>
      <c r="I362" s="3"/>
      <c r="J362" s="81"/>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81"/>
      <c r="I363" s="3"/>
      <c r="J363" s="81"/>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81"/>
      <c r="I364" s="3"/>
      <c r="J364" s="81"/>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81"/>
      <c r="I365" s="3"/>
      <c r="J365" s="81"/>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81"/>
      <c r="I366" s="3"/>
      <c r="J366" s="81"/>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81"/>
      <c r="I367" s="3"/>
      <c r="J367" s="81"/>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81"/>
      <c r="I368" s="3"/>
      <c r="J368" s="81"/>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81"/>
      <c r="I369" s="3"/>
      <c r="J369" s="81"/>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81"/>
      <c r="I370" s="3"/>
      <c r="J370" s="81"/>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81"/>
      <c r="I371" s="3"/>
      <c r="J371" s="81"/>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81"/>
      <c r="I372" s="3"/>
      <c r="J372" s="81"/>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81"/>
      <c r="I373" s="3"/>
      <c r="J373" s="81"/>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81"/>
      <c r="I374" s="3"/>
      <c r="J374" s="81"/>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81"/>
      <c r="I375" s="3"/>
      <c r="J375" s="81"/>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81"/>
      <c r="I376" s="3"/>
      <c r="J376" s="81"/>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81"/>
      <c r="I377" s="3"/>
      <c r="J377" s="81"/>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81"/>
      <c r="I378" s="3"/>
      <c r="J378" s="81"/>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81"/>
      <c r="I379" s="3"/>
      <c r="J379" s="81"/>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81"/>
      <c r="I380" s="3"/>
      <c r="J380" s="81"/>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81"/>
      <c r="I381" s="3"/>
      <c r="J381" s="81"/>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81"/>
      <c r="I382" s="3"/>
      <c r="J382" s="81"/>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81"/>
      <c r="I383" s="3"/>
      <c r="J383" s="81"/>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81"/>
      <c r="I384" s="3"/>
      <c r="J384" s="81"/>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81"/>
      <c r="I385" s="3"/>
      <c r="J385" s="81"/>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81"/>
      <c r="I386" s="3"/>
      <c r="J386" s="81"/>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81"/>
      <c r="I387" s="3"/>
      <c r="J387" s="81"/>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81"/>
      <c r="I388" s="3"/>
      <c r="J388" s="81"/>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81"/>
      <c r="I389" s="3"/>
      <c r="J389" s="81"/>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81"/>
      <c r="I390" s="3"/>
      <c r="J390" s="81"/>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81"/>
      <c r="I391" s="3"/>
      <c r="J391" s="81"/>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81"/>
      <c r="I392" s="3"/>
      <c r="J392" s="81"/>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81"/>
      <c r="I393" s="3"/>
      <c r="J393" s="81"/>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81"/>
      <c r="I394" s="3"/>
      <c r="J394" s="81"/>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81"/>
      <c r="I395" s="3"/>
      <c r="J395" s="81"/>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81"/>
      <c r="I396" s="3"/>
      <c r="J396" s="81"/>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81"/>
      <c r="I397" s="3"/>
      <c r="J397" s="81"/>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81"/>
      <c r="I398" s="3"/>
      <c r="J398" s="81"/>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81"/>
      <c r="I399" s="3"/>
      <c r="J399" s="81"/>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81"/>
      <c r="I400" s="3"/>
      <c r="J400" s="81"/>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81"/>
      <c r="I401" s="3"/>
      <c r="J401" s="81"/>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81"/>
      <c r="I402" s="3"/>
      <c r="J402" s="81"/>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81"/>
      <c r="I403" s="3"/>
      <c r="J403" s="81"/>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81"/>
      <c r="I404" s="3"/>
      <c r="J404" s="81"/>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81"/>
      <c r="I405" s="3"/>
      <c r="J405" s="81"/>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81"/>
      <c r="I406" s="3"/>
      <c r="J406" s="81"/>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81"/>
      <c r="I407" s="3"/>
      <c r="J407" s="81"/>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81"/>
      <c r="I408" s="3"/>
      <c r="J408" s="81"/>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81"/>
      <c r="I409" s="3"/>
      <c r="J409" s="81"/>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81"/>
      <c r="I410" s="3"/>
      <c r="J410" s="81"/>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81"/>
      <c r="I411" s="3"/>
      <c r="J411" s="81"/>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81"/>
      <c r="I412" s="3"/>
      <c r="J412" s="81"/>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81"/>
      <c r="I413" s="3"/>
      <c r="J413" s="81"/>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81"/>
      <c r="I414" s="3"/>
      <c r="J414" s="81"/>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81"/>
      <c r="I415" s="3"/>
      <c r="J415" s="81"/>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81"/>
      <c r="I416" s="3"/>
      <c r="J416" s="81"/>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81"/>
      <c r="I417" s="3"/>
      <c r="J417" s="81"/>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81"/>
      <c r="I418" s="3"/>
      <c r="J418" s="81"/>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81"/>
      <c r="I419" s="3"/>
      <c r="J419" s="81"/>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81"/>
      <c r="I420" s="3"/>
      <c r="J420" s="81"/>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81"/>
      <c r="I421" s="3"/>
      <c r="J421" s="81"/>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81"/>
      <c r="I422" s="3"/>
      <c r="J422" s="81"/>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81"/>
      <c r="I423" s="3"/>
      <c r="J423" s="81"/>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81"/>
      <c r="I424" s="3"/>
      <c r="J424" s="81"/>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81"/>
      <c r="I425" s="3"/>
      <c r="J425" s="81"/>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81"/>
      <c r="I426" s="3"/>
      <c r="J426" s="81"/>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81"/>
      <c r="I427" s="3"/>
      <c r="J427" s="81"/>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81"/>
      <c r="I428" s="3"/>
      <c r="J428" s="81"/>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81"/>
      <c r="I429" s="3"/>
      <c r="J429" s="81"/>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81"/>
      <c r="I430" s="3"/>
      <c r="J430" s="81"/>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81"/>
      <c r="I431" s="3"/>
      <c r="J431" s="81"/>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81"/>
      <c r="I432" s="3"/>
      <c r="J432" s="81"/>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81"/>
      <c r="I433" s="3"/>
      <c r="J433" s="81"/>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81"/>
      <c r="I434" s="3"/>
      <c r="J434" s="81"/>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81"/>
      <c r="I435" s="3"/>
      <c r="J435" s="81"/>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81"/>
      <c r="I436" s="3"/>
      <c r="J436" s="81"/>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81"/>
      <c r="I437" s="3"/>
      <c r="J437" s="81"/>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81"/>
      <c r="I438" s="3"/>
      <c r="J438" s="81"/>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81"/>
      <c r="I439" s="3"/>
      <c r="J439" s="81"/>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81"/>
      <c r="I440" s="3"/>
      <c r="J440" s="81"/>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81"/>
      <c r="I441" s="3"/>
      <c r="J441" s="81"/>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81"/>
      <c r="I442" s="3"/>
      <c r="J442" s="81"/>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81"/>
      <c r="I443" s="3"/>
      <c r="J443" s="81"/>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81"/>
      <c r="I444" s="3"/>
      <c r="J444" s="81"/>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81"/>
      <c r="I445" s="3"/>
      <c r="J445" s="81"/>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81"/>
      <c r="I446" s="3"/>
      <c r="J446" s="81"/>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81"/>
      <c r="I447" s="3"/>
      <c r="J447" s="81"/>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81"/>
      <c r="I448" s="3"/>
      <c r="J448" s="81"/>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81"/>
      <c r="I449" s="3"/>
      <c r="J449" s="81"/>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81"/>
      <c r="I450" s="3"/>
      <c r="J450" s="81"/>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81"/>
      <c r="I451" s="3"/>
      <c r="J451" s="81"/>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81"/>
      <c r="I452" s="3"/>
      <c r="J452" s="81"/>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81"/>
      <c r="I453" s="3"/>
      <c r="J453" s="81"/>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81"/>
      <c r="I454" s="3"/>
      <c r="J454" s="81"/>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81"/>
      <c r="I455" s="3"/>
      <c r="J455" s="81"/>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81"/>
      <c r="I456" s="3"/>
      <c r="J456" s="81"/>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81"/>
      <c r="I457" s="3"/>
      <c r="J457" s="81"/>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81"/>
      <c r="I458" s="3"/>
      <c r="J458" s="81"/>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81"/>
      <c r="I459" s="3"/>
      <c r="J459" s="81"/>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81"/>
      <c r="I460" s="3"/>
      <c r="J460" s="81"/>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81"/>
      <c r="I461" s="3"/>
      <c r="J461" s="81"/>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81"/>
      <c r="I462" s="3"/>
      <c r="J462" s="81"/>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81"/>
      <c r="I463" s="3"/>
      <c r="J463" s="81"/>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81"/>
      <c r="I464" s="3"/>
      <c r="J464" s="81"/>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81"/>
      <c r="I465" s="3"/>
      <c r="J465" s="81"/>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81"/>
      <c r="I466" s="3"/>
      <c r="J466" s="81"/>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81"/>
      <c r="I467" s="3"/>
      <c r="J467" s="81"/>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81"/>
      <c r="I468" s="3"/>
      <c r="J468" s="81"/>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81"/>
      <c r="I469" s="3"/>
      <c r="J469" s="81"/>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81"/>
      <c r="I470" s="3"/>
      <c r="J470" s="81"/>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81"/>
      <c r="I471" s="3"/>
      <c r="J471" s="81"/>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81"/>
      <c r="I472" s="3"/>
      <c r="J472" s="81"/>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81"/>
      <c r="I473" s="3"/>
      <c r="J473" s="81"/>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81"/>
      <c r="I474" s="3"/>
      <c r="J474" s="81"/>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81"/>
      <c r="I475" s="3"/>
      <c r="J475" s="81"/>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81"/>
      <c r="I476" s="3"/>
      <c r="J476" s="81"/>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81"/>
      <c r="I477" s="3"/>
      <c r="J477" s="81"/>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81"/>
      <c r="I478" s="3"/>
      <c r="J478" s="81"/>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81"/>
      <c r="I479" s="3"/>
      <c r="J479" s="81"/>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81"/>
      <c r="I480" s="3"/>
      <c r="J480" s="81"/>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81"/>
      <c r="I481" s="3"/>
      <c r="J481" s="81"/>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81"/>
      <c r="I482" s="3"/>
      <c r="J482" s="81"/>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81"/>
      <c r="I483" s="3"/>
      <c r="J483" s="81"/>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81"/>
      <c r="I484" s="3"/>
      <c r="J484" s="81"/>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81"/>
      <c r="I485" s="3"/>
      <c r="J485" s="81"/>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81"/>
      <c r="I486" s="3"/>
      <c r="J486" s="81"/>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81"/>
      <c r="I487" s="3"/>
      <c r="J487" s="81"/>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81"/>
      <c r="I488" s="3"/>
      <c r="J488" s="81"/>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81"/>
      <c r="I489" s="3"/>
      <c r="J489" s="81"/>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81"/>
      <c r="I490" s="3"/>
      <c r="J490" s="81"/>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81"/>
      <c r="I491" s="3"/>
      <c r="J491" s="81"/>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81"/>
      <c r="I492" s="3"/>
      <c r="J492" s="81"/>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81"/>
      <c r="I493" s="3"/>
      <c r="J493" s="81"/>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81"/>
      <c r="I494" s="3"/>
      <c r="J494" s="81"/>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81"/>
      <c r="I495" s="3"/>
      <c r="J495" s="81"/>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81"/>
      <c r="I496" s="3"/>
      <c r="J496" s="81"/>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81"/>
      <c r="I497" s="3"/>
      <c r="J497" s="81"/>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81"/>
      <c r="I498" s="3"/>
      <c r="J498" s="81"/>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81"/>
      <c r="I499" s="3"/>
      <c r="J499" s="81"/>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81"/>
      <c r="I500" s="3"/>
      <c r="J500" s="81"/>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81"/>
      <c r="I501" s="3"/>
      <c r="J501" s="81"/>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81"/>
      <c r="I502" s="3"/>
      <c r="J502" s="81"/>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81"/>
      <c r="I503" s="3"/>
      <c r="J503" s="81"/>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81"/>
      <c r="I504" s="3"/>
      <c r="J504" s="81"/>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81"/>
      <c r="I505" s="3"/>
      <c r="J505" s="81"/>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81"/>
      <c r="I506" s="3"/>
      <c r="J506" s="81"/>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81"/>
      <c r="I507" s="3"/>
      <c r="J507" s="81"/>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81"/>
      <c r="I508" s="3"/>
      <c r="J508" s="81"/>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81"/>
      <c r="I509" s="3"/>
      <c r="J509" s="81"/>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81"/>
      <c r="I510" s="3"/>
      <c r="J510" s="81"/>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81"/>
      <c r="I511" s="3"/>
      <c r="J511" s="81"/>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81"/>
      <c r="I512" s="3"/>
      <c r="J512" s="81"/>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81"/>
      <c r="I513" s="3"/>
      <c r="J513" s="81"/>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81"/>
      <c r="I514" s="3"/>
      <c r="J514" s="81"/>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81"/>
      <c r="I515" s="3"/>
      <c r="J515" s="81"/>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81"/>
      <c r="I516" s="3"/>
      <c r="J516" s="81"/>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81"/>
      <c r="I517" s="3"/>
      <c r="J517" s="81"/>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81"/>
      <c r="I518" s="3"/>
      <c r="J518" s="81"/>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81"/>
      <c r="I519" s="3"/>
      <c r="J519" s="81"/>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81"/>
      <c r="I520" s="3"/>
      <c r="J520" s="81"/>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81"/>
      <c r="I521" s="3"/>
      <c r="J521" s="81"/>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81"/>
      <c r="I522" s="3"/>
      <c r="J522" s="81"/>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81"/>
      <c r="I523" s="3"/>
      <c r="J523" s="81"/>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81"/>
      <c r="I524" s="3"/>
      <c r="J524" s="81"/>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81"/>
      <c r="I525" s="3"/>
      <c r="J525" s="81"/>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81"/>
      <c r="I526" s="3"/>
      <c r="J526" s="81"/>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81"/>
      <c r="I527" s="3"/>
      <c r="J527" s="81"/>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81"/>
      <c r="I528" s="3"/>
      <c r="J528" s="81"/>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81"/>
      <c r="I529" s="3"/>
      <c r="J529" s="81"/>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81"/>
      <c r="I530" s="3"/>
      <c r="J530" s="81"/>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81"/>
      <c r="I531" s="3"/>
      <c r="J531" s="81"/>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81"/>
      <c r="I532" s="3"/>
      <c r="J532" s="81"/>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81"/>
      <c r="I533" s="3"/>
      <c r="J533" s="81"/>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81"/>
      <c r="I534" s="3"/>
      <c r="J534" s="81"/>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81"/>
      <c r="I535" s="3"/>
      <c r="J535" s="81"/>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81"/>
      <c r="I536" s="3"/>
      <c r="J536" s="81"/>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81"/>
      <c r="I537" s="3"/>
      <c r="J537" s="81"/>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81"/>
      <c r="I538" s="3"/>
      <c r="J538" s="81"/>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81"/>
      <c r="I539" s="3"/>
      <c r="J539" s="81"/>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81"/>
      <c r="I540" s="3"/>
      <c r="J540" s="81"/>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81"/>
      <c r="I541" s="3"/>
      <c r="J541" s="81"/>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81"/>
      <c r="I542" s="3"/>
      <c r="J542" s="81"/>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81"/>
      <c r="I543" s="3"/>
      <c r="J543" s="81"/>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81"/>
      <c r="I544" s="3"/>
      <c r="J544" s="81"/>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81"/>
      <c r="I545" s="3"/>
      <c r="J545" s="81"/>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81"/>
      <c r="I546" s="3"/>
      <c r="J546" s="81"/>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81"/>
      <c r="I547" s="3"/>
      <c r="J547" s="81"/>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81"/>
      <c r="I548" s="3"/>
      <c r="J548" s="81"/>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81"/>
      <c r="I549" s="3"/>
      <c r="J549" s="81"/>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81"/>
      <c r="I550" s="3"/>
      <c r="J550" s="81"/>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81"/>
      <c r="I551" s="3"/>
      <c r="J551" s="81"/>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81"/>
      <c r="I552" s="3"/>
      <c r="J552" s="81"/>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81"/>
      <c r="I553" s="3"/>
      <c r="J553" s="81"/>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81"/>
      <c r="I554" s="3"/>
      <c r="J554" s="81"/>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81"/>
      <c r="I555" s="3"/>
      <c r="J555" s="81"/>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81"/>
      <c r="I556" s="3"/>
      <c r="J556" s="81"/>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81"/>
      <c r="I557" s="3"/>
      <c r="J557" s="81"/>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81"/>
      <c r="I558" s="3"/>
      <c r="J558" s="81"/>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81"/>
      <c r="I559" s="3"/>
      <c r="J559" s="81"/>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81"/>
      <c r="I560" s="3"/>
      <c r="J560" s="81"/>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81"/>
      <c r="I561" s="3"/>
      <c r="J561" s="81"/>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81"/>
      <c r="I562" s="3"/>
      <c r="J562" s="81"/>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81"/>
      <c r="I563" s="3"/>
      <c r="J563" s="81"/>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81"/>
      <c r="I564" s="3"/>
      <c r="J564" s="81"/>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81"/>
      <c r="I565" s="3"/>
      <c r="J565" s="81"/>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81"/>
      <c r="I566" s="3"/>
      <c r="J566" s="81"/>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81"/>
      <c r="I567" s="3"/>
      <c r="J567" s="81"/>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81"/>
      <c r="I568" s="3"/>
      <c r="J568" s="81"/>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81"/>
      <c r="I569" s="3"/>
      <c r="J569" s="81"/>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81"/>
      <c r="I570" s="3"/>
      <c r="J570" s="81"/>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81"/>
      <c r="I571" s="3"/>
      <c r="J571" s="81"/>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81"/>
      <c r="I572" s="3"/>
      <c r="J572" s="81"/>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81"/>
      <c r="I573" s="3"/>
      <c r="J573" s="81"/>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81"/>
      <c r="I574" s="3"/>
      <c r="J574" s="81"/>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81"/>
      <c r="I575" s="3"/>
      <c r="J575" s="81"/>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81"/>
      <c r="I576" s="3"/>
      <c r="J576" s="81"/>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81"/>
      <c r="I577" s="3"/>
      <c r="J577" s="81"/>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81"/>
      <c r="I578" s="3"/>
      <c r="J578" s="81"/>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81"/>
      <c r="I579" s="3"/>
      <c r="J579" s="81"/>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81"/>
      <c r="I580" s="3"/>
      <c r="J580" s="81"/>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81"/>
      <c r="I581" s="3"/>
      <c r="J581" s="81"/>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81"/>
      <c r="I582" s="3"/>
      <c r="J582" s="81"/>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81"/>
      <c r="I583" s="3"/>
      <c r="J583" s="81"/>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81"/>
      <c r="I584" s="3"/>
      <c r="J584" s="81"/>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81"/>
      <c r="I585" s="3"/>
      <c r="J585" s="81"/>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81"/>
      <c r="I586" s="3"/>
      <c r="J586" s="81"/>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81"/>
      <c r="I587" s="3"/>
      <c r="J587" s="81"/>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81"/>
      <c r="I588" s="3"/>
      <c r="J588" s="81"/>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81"/>
      <c r="I589" s="3"/>
      <c r="J589" s="81"/>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81"/>
      <c r="I590" s="3"/>
      <c r="J590" s="81"/>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81"/>
      <c r="I591" s="3"/>
      <c r="J591" s="81"/>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81"/>
      <c r="I592" s="3"/>
      <c r="J592" s="81"/>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81"/>
      <c r="I593" s="3"/>
      <c r="J593" s="81"/>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81"/>
      <c r="I594" s="3"/>
      <c r="J594" s="81"/>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81"/>
      <c r="I595" s="3"/>
      <c r="J595" s="81"/>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81"/>
      <c r="I596" s="3"/>
      <c r="J596" s="81"/>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81"/>
      <c r="I597" s="3"/>
      <c r="J597" s="81"/>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81"/>
      <c r="I598" s="3"/>
      <c r="J598" s="81"/>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81"/>
      <c r="I599" s="3"/>
      <c r="J599" s="81"/>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81"/>
      <c r="I600" s="3"/>
      <c r="J600" s="81"/>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81"/>
      <c r="I601" s="3"/>
      <c r="J601" s="81"/>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81"/>
      <c r="I602" s="3"/>
      <c r="J602" s="81"/>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81"/>
      <c r="I603" s="3"/>
      <c r="J603" s="81"/>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81"/>
      <c r="I604" s="3"/>
      <c r="J604" s="81"/>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81"/>
      <c r="I605" s="3"/>
      <c r="J605" s="81"/>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81"/>
      <c r="I606" s="3"/>
      <c r="J606" s="81"/>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81"/>
      <c r="I607" s="3"/>
      <c r="J607" s="81"/>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81"/>
      <c r="I608" s="3"/>
      <c r="J608" s="81"/>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81"/>
      <c r="I609" s="3"/>
      <c r="J609" s="81"/>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81"/>
      <c r="I610" s="3"/>
      <c r="J610" s="81"/>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81"/>
      <c r="I611" s="3"/>
      <c r="J611" s="81"/>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81"/>
      <c r="I612" s="3"/>
      <c r="J612" s="81"/>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81"/>
      <c r="I613" s="3"/>
      <c r="J613" s="81"/>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81"/>
      <c r="I614" s="3"/>
      <c r="J614" s="81"/>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81"/>
      <c r="I615" s="3"/>
      <c r="J615" s="81"/>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81"/>
      <c r="I616" s="3"/>
      <c r="J616" s="81"/>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81"/>
      <c r="I617" s="3"/>
      <c r="J617" s="81"/>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81"/>
      <c r="I618" s="3"/>
      <c r="J618" s="81"/>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81"/>
      <c r="I619" s="3"/>
      <c r="J619" s="81"/>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81"/>
      <c r="I620" s="3"/>
      <c r="J620" s="81"/>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81"/>
      <c r="I621" s="3"/>
      <c r="J621" s="81"/>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81"/>
      <c r="I622" s="3"/>
      <c r="J622" s="81"/>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81"/>
      <c r="I623" s="3"/>
      <c r="J623" s="81"/>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81"/>
      <c r="I624" s="3"/>
      <c r="J624" s="81"/>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81"/>
      <c r="I625" s="3"/>
      <c r="J625" s="81"/>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81"/>
      <c r="I626" s="3"/>
      <c r="J626" s="81"/>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81"/>
      <c r="I627" s="3"/>
      <c r="J627" s="81"/>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81"/>
      <c r="I628" s="3"/>
      <c r="J628" s="81"/>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81"/>
      <c r="I629" s="3"/>
      <c r="J629" s="81"/>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81"/>
      <c r="I630" s="3"/>
      <c r="J630" s="81"/>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81"/>
      <c r="I631" s="3"/>
      <c r="J631" s="81"/>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81"/>
      <c r="I632" s="3"/>
      <c r="J632" s="81"/>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81"/>
      <c r="I633" s="3"/>
      <c r="J633" s="81"/>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81"/>
      <c r="I634" s="3"/>
      <c r="J634" s="81"/>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81"/>
      <c r="I635" s="3"/>
      <c r="J635" s="81"/>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81"/>
      <c r="I636" s="3"/>
      <c r="J636" s="81"/>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81"/>
      <c r="I637" s="3"/>
      <c r="J637" s="81"/>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81"/>
      <c r="I638" s="3"/>
      <c r="J638" s="81"/>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81"/>
      <c r="I639" s="3"/>
      <c r="J639" s="81"/>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81"/>
      <c r="I640" s="3"/>
      <c r="J640" s="81"/>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81"/>
      <c r="I641" s="3"/>
      <c r="J641" s="81"/>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81"/>
      <c r="I642" s="3"/>
      <c r="J642" s="81"/>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81"/>
      <c r="I643" s="3"/>
      <c r="J643" s="81"/>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81"/>
      <c r="I644" s="3"/>
      <c r="J644" s="81"/>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81"/>
      <c r="I645" s="3"/>
      <c r="J645" s="81"/>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81"/>
      <c r="I646" s="3"/>
      <c r="J646" s="81"/>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81"/>
      <c r="I647" s="3"/>
      <c r="J647" s="81"/>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81"/>
      <c r="I648" s="3"/>
      <c r="J648" s="81"/>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81"/>
      <c r="I649" s="3"/>
      <c r="J649" s="81"/>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81"/>
      <c r="I650" s="3"/>
      <c r="J650" s="81"/>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81"/>
      <c r="I651" s="3"/>
      <c r="J651" s="81"/>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81"/>
      <c r="I652" s="3"/>
      <c r="J652" s="81"/>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81"/>
      <c r="I653" s="3"/>
      <c r="J653" s="81"/>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81"/>
      <c r="I654" s="3"/>
      <c r="J654" s="81"/>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81"/>
      <c r="I655" s="3"/>
      <c r="J655" s="81"/>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81"/>
      <c r="I656" s="3"/>
      <c r="J656" s="81"/>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81"/>
      <c r="I657" s="3"/>
      <c r="J657" s="81"/>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81"/>
      <c r="I658" s="3"/>
      <c r="J658" s="81"/>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81"/>
      <c r="I659" s="3"/>
      <c r="J659" s="81"/>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81"/>
      <c r="I660" s="3"/>
      <c r="J660" s="81"/>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81"/>
      <c r="I661" s="3"/>
      <c r="J661" s="81"/>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81"/>
      <c r="I662" s="3"/>
      <c r="J662" s="81"/>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81"/>
      <c r="I663" s="3"/>
      <c r="J663" s="81"/>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81"/>
      <c r="I664" s="3"/>
      <c r="J664" s="81"/>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81"/>
      <c r="I665" s="3"/>
      <c r="J665" s="81"/>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81"/>
      <c r="I666" s="3"/>
      <c r="J666" s="81"/>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81"/>
      <c r="I667" s="3"/>
      <c r="J667" s="81"/>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81"/>
      <c r="I668" s="3"/>
      <c r="J668" s="81"/>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81"/>
      <c r="I669" s="3"/>
      <c r="J669" s="81"/>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81"/>
      <c r="I670" s="3"/>
      <c r="J670" s="81"/>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81"/>
      <c r="I671" s="3"/>
      <c r="J671" s="81"/>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81"/>
      <c r="I672" s="3"/>
      <c r="J672" s="81"/>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81"/>
      <c r="I673" s="3"/>
      <c r="J673" s="81"/>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81"/>
      <c r="I674" s="3"/>
      <c r="J674" s="81"/>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81"/>
      <c r="I675" s="3"/>
      <c r="J675" s="81"/>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81"/>
      <c r="I676" s="3"/>
      <c r="J676" s="81"/>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81"/>
      <c r="I677" s="3"/>
      <c r="J677" s="81"/>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81"/>
      <c r="I678" s="3"/>
      <c r="J678" s="81"/>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81"/>
      <c r="I679" s="3"/>
      <c r="J679" s="81"/>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81"/>
      <c r="I680" s="3"/>
      <c r="J680" s="81"/>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81"/>
      <c r="I681" s="3"/>
      <c r="J681" s="81"/>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81"/>
      <c r="I682" s="3"/>
      <c r="J682" s="81"/>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81"/>
      <c r="I683" s="3"/>
      <c r="J683" s="81"/>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81"/>
      <c r="I684" s="3"/>
      <c r="J684" s="81"/>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81"/>
      <c r="I685" s="3"/>
      <c r="J685" s="81"/>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81"/>
      <c r="I686" s="3"/>
      <c r="J686" s="81"/>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81"/>
      <c r="I687" s="3"/>
      <c r="J687" s="81"/>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81"/>
      <c r="I688" s="3"/>
      <c r="J688" s="81"/>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81"/>
      <c r="I689" s="3"/>
      <c r="J689" s="81"/>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81"/>
      <c r="I690" s="3"/>
      <c r="J690" s="81"/>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81"/>
      <c r="I691" s="3"/>
      <c r="J691" s="81"/>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81"/>
      <c r="I692" s="3"/>
      <c r="J692" s="81"/>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81"/>
      <c r="I693" s="3"/>
      <c r="J693" s="81"/>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81"/>
      <c r="I694" s="3"/>
      <c r="J694" s="81"/>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81"/>
      <c r="I695" s="3"/>
      <c r="J695" s="81"/>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81"/>
      <c r="I696" s="3"/>
      <c r="J696" s="81"/>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81"/>
      <c r="I697" s="3"/>
      <c r="J697" s="81"/>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81"/>
      <c r="I698" s="3"/>
      <c r="J698" s="81"/>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81"/>
      <c r="I699" s="3"/>
      <c r="J699" s="81"/>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81"/>
      <c r="I700" s="3"/>
      <c r="J700" s="81"/>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81"/>
      <c r="I701" s="3"/>
      <c r="J701" s="81"/>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81"/>
      <c r="I702" s="3"/>
      <c r="J702" s="81"/>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81"/>
      <c r="I703" s="3"/>
      <c r="J703" s="81"/>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81"/>
      <c r="I704" s="3"/>
      <c r="J704" s="81"/>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81"/>
      <c r="I705" s="3"/>
      <c r="J705" s="81"/>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81"/>
      <c r="I706" s="3"/>
      <c r="J706" s="81"/>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81"/>
      <c r="I707" s="3"/>
      <c r="J707" s="81"/>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81"/>
      <c r="I708" s="3"/>
      <c r="J708" s="81"/>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81"/>
      <c r="I709" s="3"/>
      <c r="J709" s="81"/>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81"/>
      <c r="I710" s="3"/>
      <c r="J710" s="81"/>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81"/>
      <c r="I711" s="3"/>
      <c r="J711" s="81"/>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81"/>
      <c r="I712" s="3"/>
      <c r="J712" s="81"/>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81"/>
      <c r="I713" s="3"/>
      <c r="J713" s="81"/>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81"/>
      <c r="I714" s="3"/>
      <c r="J714" s="81"/>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81"/>
      <c r="I715" s="3"/>
      <c r="J715" s="81"/>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81"/>
      <c r="I716" s="3"/>
      <c r="J716" s="81"/>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81"/>
      <c r="I717" s="3"/>
      <c r="J717" s="81"/>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81"/>
      <c r="I718" s="3"/>
      <c r="J718" s="81"/>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81"/>
      <c r="I719" s="3"/>
      <c r="J719" s="81"/>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81"/>
      <c r="I720" s="3"/>
      <c r="J720" s="81"/>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81"/>
      <c r="I721" s="3"/>
      <c r="J721" s="81"/>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81"/>
      <c r="I722" s="3"/>
      <c r="J722" s="81"/>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81"/>
      <c r="I723" s="3"/>
      <c r="J723" s="81"/>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81"/>
      <c r="I724" s="3"/>
      <c r="J724" s="81"/>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81"/>
      <c r="I725" s="3"/>
      <c r="J725" s="81"/>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81"/>
      <c r="I726" s="3"/>
      <c r="J726" s="81"/>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81"/>
      <c r="I727" s="3"/>
      <c r="J727" s="81"/>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81"/>
      <c r="I728" s="3"/>
      <c r="J728" s="81"/>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81"/>
      <c r="I729" s="3"/>
      <c r="J729" s="81"/>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81"/>
      <c r="I730" s="3"/>
      <c r="J730" s="81"/>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81"/>
      <c r="I731" s="3"/>
      <c r="J731" s="81"/>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81"/>
      <c r="I732" s="3"/>
      <c r="J732" s="81"/>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81"/>
      <c r="I733" s="3"/>
      <c r="J733" s="81"/>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81"/>
      <c r="I734" s="3"/>
      <c r="J734" s="81"/>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81"/>
      <c r="I735" s="3"/>
      <c r="J735" s="81"/>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81"/>
      <c r="I736" s="3"/>
      <c r="J736" s="81"/>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81"/>
      <c r="I737" s="3"/>
      <c r="J737" s="81"/>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81"/>
      <c r="I738" s="3"/>
      <c r="J738" s="81"/>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81"/>
      <c r="I739" s="3"/>
      <c r="J739" s="81"/>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81"/>
      <c r="I740" s="3"/>
      <c r="J740" s="81"/>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81"/>
      <c r="I741" s="3"/>
      <c r="J741" s="81"/>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81"/>
      <c r="I742" s="3"/>
      <c r="J742" s="81"/>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81"/>
      <c r="I743" s="3"/>
      <c r="J743" s="81"/>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81"/>
      <c r="I744" s="3"/>
      <c r="J744" s="81"/>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81"/>
      <c r="I745" s="3"/>
      <c r="J745" s="81"/>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81"/>
      <c r="I746" s="3"/>
      <c r="J746" s="81"/>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81"/>
      <c r="I747" s="3"/>
      <c r="J747" s="81"/>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81"/>
      <c r="I748" s="3"/>
      <c r="J748" s="81"/>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81"/>
      <c r="I749" s="3"/>
      <c r="J749" s="81"/>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81"/>
      <c r="I750" s="3"/>
      <c r="J750" s="81"/>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81"/>
      <c r="I751" s="3"/>
      <c r="J751" s="81"/>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81"/>
      <c r="I752" s="3"/>
      <c r="J752" s="81"/>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81"/>
      <c r="I753" s="3"/>
      <c r="J753" s="81"/>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81"/>
      <c r="I754" s="3"/>
      <c r="J754" s="81"/>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81"/>
      <c r="I755" s="3"/>
      <c r="J755" s="81"/>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81"/>
      <c r="I756" s="3"/>
      <c r="J756" s="81"/>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81"/>
      <c r="I757" s="3"/>
      <c r="J757" s="81"/>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81"/>
      <c r="I758" s="3"/>
      <c r="J758" s="81"/>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81"/>
      <c r="I759" s="3"/>
      <c r="J759" s="81"/>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81"/>
      <c r="I760" s="3"/>
      <c r="J760" s="81"/>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81"/>
      <c r="I761" s="3"/>
      <c r="J761" s="81"/>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81"/>
      <c r="I762" s="3"/>
      <c r="J762" s="81"/>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81"/>
      <c r="I763" s="3"/>
      <c r="J763" s="81"/>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81"/>
      <c r="I764" s="3"/>
      <c r="J764" s="81"/>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81"/>
      <c r="I765" s="3"/>
      <c r="J765" s="81"/>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81"/>
      <c r="I766" s="3"/>
      <c r="J766" s="81"/>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81"/>
      <c r="I767" s="3"/>
      <c r="J767" s="81"/>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81"/>
      <c r="I768" s="3"/>
      <c r="J768" s="81"/>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81"/>
      <c r="I769" s="3"/>
      <c r="J769" s="81"/>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81"/>
      <c r="I770" s="3"/>
      <c r="J770" s="81"/>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81"/>
      <c r="I771" s="3"/>
      <c r="J771" s="81"/>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81"/>
      <c r="I772" s="3"/>
      <c r="J772" s="81"/>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81"/>
      <c r="I773" s="3"/>
      <c r="J773" s="81"/>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81"/>
      <c r="I774" s="3"/>
      <c r="J774" s="81"/>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81"/>
      <c r="I775" s="3"/>
      <c r="J775" s="81"/>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81"/>
      <c r="I776" s="3"/>
      <c r="J776" s="81"/>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81"/>
      <c r="I777" s="3"/>
      <c r="J777" s="81"/>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81"/>
      <c r="I778" s="3"/>
      <c r="J778" s="81"/>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81"/>
      <c r="I779" s="3"/>
      <c r="J779" s="81"/>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81"/>
      <c r="I780" s="3"/>
      <c r="J780" s="81"/>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81"/>
      <c r="I781" s="3"/>
      <c r="J781" s="81"/>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81"/>
      <c r="I782" s="3"/>
      <c r="J782" s="81"/>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81"/>
      <c r="I783" s="3"/>
      <c r="J783" s="81"/>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81"/>
      <c r="I784" s="3"/>
      <c r="J784" s="81"/>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81"/>
      <c r="I785" s="3"/>
      <c r="J785" s="81"/>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81"/>
      <c r="I786" s="3"/>
      <c r="J786" s="81"/>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81"/>
      <c r="I787" s="3"/>
      <c r="J787" s="81"/>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81"/>
      <c r="I788" s="3"/>
      <c r="J788" s="81"/>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81"/>
      <c r="I789" s="3"/>
      <c r="J789" s="81"/>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81"/>
      <c r="I790" s="3"/>
      <c r="J790" s="81"/>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81"/>
      <c r="I791" s="3"/>
      <c r="J791" s="81"/>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81"/>
      <c r="I792" s="3"/>
      <c r="J792" s="81"/>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81"/>
      <c r="I793" s="3"/>
      <c r="J793" s="81"/>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81"/>
      <c r="I794" s="3"/>
      <c r="J794" s="81"/>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81"/>
      <c r="I795" s="3"/>
      <c r="J795" s="81"/>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81"/>
      <c r="I796" s="3"/>
      <c r="J796" s="81"/>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81"/>
      <c r="I797" s="3"/>
      <c r="J797" s="81"/>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81"/>
      <c r="I798" s="3"/>
      <c r="J798" s="81"/>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81"/>
      <c r="I799" s="3"/>
      <c r="J799" s="81"/>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81"/>
      <c r="I800" s="3"/>
      <c r="J800" s="81"/>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81"/>
      <c r="I801" s="3"/>
      <c r="J801" s="81"/>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81"/>
      <c r="I802" s="3"/>
      <c r="J802" s="81"/>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81"/>
      <c r="I803" s="3"/>
      <c r="J803" s="81"/>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81"/>
      <c r="I804" s="3"/>
      <c r="J804" s="81"/>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81"/>
      <c r="I805" s="3"/>
      <c r="J805" s="81"/>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81"/>
      <c r="I806" s="3"/>
      <c r="J806" s="81"/>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81"/>
      <c r="I807" s="3"/>
      <c r="J807" s="81"/>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81"/>
      <c r="I808" s="3"/>
      <c r="J808" s="81"/>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81"/>
      <c r="I809" s="3"/>
      <c r="J809" s="81"/>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81"/>
      <c r="I810" s="3"/>
      <c r="J810" s="81"/>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81"/>
      <c r="I811" s="3"/>
      <c r="J811" s="81"/>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81"/>
      <c r="I812" s="3"/>
      <c r="J812" s="81"/>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81"/>
      <c r="I813" s="3"/>
      <c r="J813" s="81"/>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81"/>
      <c r="I814" s="3"/>
      <c r="J814" s="81"/>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81"/>
      <c r="I815" s="3"/>
      <c r="J815" s="81"/>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81"/>
      <c r="I816" s="3"/>
      <c r="J816" s="81"/>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81"/>
      <c r="I817" s="3"/>
      <c r="J817" s="81"/>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81"/>
      <c r="I818" s="3"/>
      <c r="J818" s="81"/>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81"/>
      <c r="I819" s="3"/>
      <c r="J819" s="81"/>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81"/>
      <c r="I820" s="3"/>
      <c r="J820" s="81"/>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81"/>
      <c r="I821" s="3"/>
      <c r="J821" s="81"/>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81"/>
      <c r="I822" s="3"/>
      <c r="J822" s="81"/>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81"/>
      <c r="I823" s="3"/>
      <c r="J823" s="81"/>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81"/>
      <c r="I824" s="3"/>
      <c r="J824" s="81"/>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81"/>
      <c r="I825" s="3"/>
      <c r="J825" s="81"/>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81"/>
      <c r="I826" s="3"/>
      <c r="J826" s="81"/>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81"/>
      <c r="I827" s="3"/>
      <c r="J827" s="81"/>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81"/>
      <c r="I828" s="3"/>
      <c r="J828" s="81"/>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81"/>
      <c r="I829" s="3"/>
      <c r="J829" s="81"/>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81"/>
      <c r="I830" s="3"/>
      <c r="J830" s="81"/>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81"/>
      <c r="I831" s="3"/>
      <c r="J831" s="81"/>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81"/>
      <c r="I832" s="3"/>
      <c r="J832" s="81"/>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81"/>
      <c r="I833" s="3"/>
      <c r="J833" s="81"/>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81"/>
      <c r="I834" s="3"/>
      <c r="J834" s="81"/>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81"/>
      <c r="I835" s="3"/>
      <c r="J835" s="81"/>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81"/>
      <c r="I836" s="3"/>
      <c r="J836" s="81"/>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81"/>
      <c r="I837" s="3"/>
      <c r="J837" s="81"/>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81"/>
      <c r="I838" s="3"/>
      <c r="J838" s="81"/>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81"/>
      <c r="I839" s="3"/>
      <c r="J839" s="81"/>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81"/>
      <c r="I840" s="3"/>
      <c r="J840" s="81"/>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81"/>
      <c r="I841" s="3"/>
      <c r="J841" s="81"/>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81"/>
      <c r="I842" s="3"/>
      <c r="J842" s="81"/>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81"/>
      <c r="I843" s="3"/>
      <c r="J843" s="81"/>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81"/>
      <c r="I844" s="3"/>
      <c r="J844" s="81"/>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81"/>
      <c r="I845" s="3"/>
      <c r="J845" s="81"/>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81"/>
      <c r="I846" s="3"/>
      <c r="J846" s="81"/>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81"/>
      <c r="I847" s="3"/>
      <c r="J847" s="81"/>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81"/>
      <c r="I848" s="3"/>
      <c r="J848" s="81"/>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81"/>
      <c r="I849" s="3"/>
      <c r="J849" s="81"/>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81"/>
      <c r="I850" s="3"/>
      <c r="J850" s="81"/>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81"/>
      <c r="I851" s="3"/>
      <c r="J851" s="81"/>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81"/>
      <c r="I852" s="3"/>
      <c r="J852" s="81"/>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81"/>
      <c r="I853" s="3"/>
      <c r="J853" s="81"/>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81"/>
      <c r="I854" s="3"/>
      <c r="J854" s="81"/>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81"/>
      <c r="I855" s="3"/>
      <c r="J855" s="81"/>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81"/>
      <c r="I856" s="3"/>
      <c r="J856" s="81"/>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81"/>
      <c r="I857" s="3"/>
      <c r="J857" s="81"/>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81"/>
      <c r="I858" s="3"/>
      <c r="J858" s="81"/>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81"/>
      <c r="I859" s="3"/>
      <c r="J859" s="81"/>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81"/>
      <c r="I860" s="3"/>
      <c r="J860" s="81"/>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81"/>
      <c r="I861" s="3"/>
      <c r="J861" s="81"/>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81"/>
      <c r="I862" s="3"/>
      <c r="J862" s="81"/>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81"/>
      <c r="I863" s="3"/>
      <c r="J863" s="81"/>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81"/>
      <c r="I864" s="3"/>
      <c r="J864" s="81"/>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81"/>
      <c r="I865" s="3"/>
      <c r="J865" s="81"/>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81"/>
      <c r="I866" s="3"/>
      <c r="J866" s="81"/>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81"/>
      <c r="I867" s="3"/>
      <c r="J867" s="81"/>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81"/>
      <c r="I868" s="3"/>
      <c r="J868" s="81"/>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81"/>
      <c r="I869" s="3"/>
      <c r="J869" s="81"/>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81"/>
      <c r="I870" s="3"/>
      <c r="J870" s="81"/>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81"/>
      <c r="I871" s="3"/>
      <c r="J871" s="81"/>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81"/>
      <c r="I872" s="3"/>
      <c r="J872" s="81"/>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81"/>
      <c r="I873" s="3"/>
      <c r="J873" s="81"/>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81"/>
      <c r="I874" s="3"/>
      <c r="J874" s="81"/>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81"/>
      <c r="I875" s="3"/>
      <c r="J875" s="81"/>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81"/>
      <c r="I876" s="3"/>
      <c r="J876" s="81"/>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81"/>
      <c r="I877" s="3"/>
      <c r="J877" s="81"/>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81"/>
      <c r="I878" s="3"/>
      <c r="J878" s="81"/>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81"/>
      <c r="I879" s="3"/>
      <c r="J879" s="81"/>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81"/>
      <c r="I880" s="3"/>
      <c r="J880" s="81"/>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81"/>
      <c r="I881" s="3"/>
      <c r="J881" s="81"/>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81"/>
      <c r="I882" s="3"/>
      <c r="J882" s="81"/>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81"/>
      <c r="I883" s="3"/>
      <c r="J883" s="81"/>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81"/>
      <c r="I884" s="3"/>
      <c r="J884" s="81"/>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81"/>
      <c r="I885" s="3"/>
      <c r="J885" s="81"/>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81"/>
      <c r="I886" s="3"/>
      <c r="J886" s="81"/>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81"/>
      <c r="I887" s="3"/>
      <c r="J887" s="81"/>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81"/>
      <c r="I888" s="3"/>
      <c r="J888" s="81"/>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81"/>
      <c r="I889" s="3"/>
      <c r="J889" s="81"/>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81"/>
      <c r="I890" s="3"/>
      <c r="J890" s="81"/>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81"/>
      <c r="I891" s="3"/>
      <c r="J891" s="81"/>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81"/>
      <c r="I892" s="3"/>
      <c r="J892" s="81"/>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81"/>
      <c r="I893" s="3"/>
      <c r="J893" s="81"/>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81"/>
      <c r="I894" s="3"/>
      <c r="J894" s="81"/>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81"/>
      <c r="I895" s="3"/>
      <c r="J895" s="81"/>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81"/>
      <c r="I896" s="3"/>
      <c r="J896" s="81"/>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81"/>
      <c r="I897" s="3"/>
      <c r="J897" s="81"/>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81"/>
      <c r="I898" s="3"/>
      <c r="J898" s="81"/>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81"/>
      <c r="I899" s="3"/>
      <c r="J899" s="81"/>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81"/>
      <c r="I900" s="3"/>
      <c r="J900" s="81"/>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81"/>
      <c r="I901" s="3"/>
      <c r="J901" s="81"/>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81"/>
      <c r="I902" s="3"/>
      <c r="J902" s="81"/>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81"/>
      <c r="I903" s="3"/>
      <c r="J903" s="81"/>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81"/>
      <c r="I904" s="3"/>
      <c r="J904" s="81"/>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81"/>
      <c r="I905" s="3"/>
      <c r="J905" s="81"/>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81"/>
      <c r="I906" s="3"/>
      <c r="J906" s="81"/>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81"/>
      <c r="I907" s="3"/>
      <c r="J907" s="81"/>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81"/>
      <c r="I908" s="3"/>
      <c r="J908" s="81"/>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81"/>
      <c r="I909" s="3"/>
      <c r="J909" s="81"/>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81"/>
      <c r="I910" s="3"/>
      <c r="J910" s="81"/>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81"/>
      <c r="I911" s="3"/>
      <c r="J911" s="81"/>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81"/>
      <c r="I912" s="3"/>
      <c r="J912" s="81"/>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81"/>
      <c r="I913" s="3"/>
      <c r="J913" s="81"/>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81"/>
      <c r="I914" s="3"/>
      <c r="J914" s="81"/>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81"/>
      <c r="I915" s="3"/>
      <c r="J915" s="81"/>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81"/>
      <c r="I916" s="3"/>
      <c r="J916" s="81"/>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81"/>
      <c r="I917" s="3"/>
      <c r="J917" s="81"/>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81"/>
      <c r="I918" s="3"/>
      <c r="J918" s="81"/>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81"/>
      <c r="I919" s="3"/>
      <c r="J919" s="81"/>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81"/>
      <c r="I920" s="3"/>
      <c r="J920" s="81"/>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81"/>
      <c r="I921" s="3"/>
      <c r="J921" s="81"/>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81"/>
      <c r="I922" s="3"/>
      <c r="J922" s="81"/>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81"/>
      <c r="I923" s="3"/>
      <c r="J923" s="81"/>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81"/>
      <c r="I924" s="3"/>
      <c r="J924" s="81"/>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81"/>
      <c r="I925" s="3"/>
      <c r="J925" s="81"/>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81"/>
      <c r="I926" s="3"/>
      <c r="J926" s="81"/>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81"/>
      <c r="I927" s="3"/>
      <c r="J927" s="81"/>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81"/>
      <c r="I928" s="3"/>
      <c r="J928" s="81"/>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81"/>
      <c r="I929" s="3"/>
      <c r="J929" s="81"/>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81"/>
      <c r="I930" s="3"/>
      <c r="J930" s="81"/>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81"/>
      <c r="I931" s="3"/>
      <c r="J931" s="81"/>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81"/>
      <c r="I932" s="3"/>
      <c r="J932" s="81"/>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81"/>
      <c r="I933" s="3"/>
      <c r="J933" s="81"/>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81"/>
      <c r="I934" s="3"/>
      <c r="J934" s="81"/>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81"/>
      <c r="I935" s="3"/>
      <c r="J935" s="81"/>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81"/>
      <c r="I936" s="3"/>
      <c r="J936" s="81"/>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81"/>
      <c r="I937" s="3"/>
      <c r="J937" s="81"/>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81"/>
      <c r="I938" s="3"/>
      <c r="J938" s="81"/>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81"/>
      <c r="I939" s="3"/>
      <c r="J939" s="81"/>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81"/>
      <c r="I940" s="3"/>
      <c r="J940" s="81"/>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81"/>
      <c r="I941" s="3"/>
      <c r="J941" s="81"/>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81"/>
      <c r="I942" s="3"/>
      <c r="J942" s="81"/>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81"/>
      <c r="I943" s="3"/>
      <c r="J943" s="81"/>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81"/>
      <c r="I944" s="3"/>
      <c r="J944" s="81"/>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81"/>
      <c r="I945" s="3"/>
      <c r="J945" s="81"/>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81"/>
      <c r="I946" s="3"/>
      <c r="J946" s="81"/>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81"/>
      <c r="I947" s="3"/>
      <c r="J947" s="81"/>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81"/>
      <c r="I948" s="3"/>
      <c r="J948" s="81"/>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81"/>
      <c r="I949" s="3"/>
      <c r="J949" s="81"/>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81"/>
      <c r="I950" s="3"/>
      <c r="J950" s="81"/>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81"/>
      <c r="I951" s="3"/>
      <c r="J951" s="81"/>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81"/>
      <c r="I952" s="3"/>
      <c r="J952" s="81"/>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81"/>
      <c r="I953" s="3"/>
      <c r="J953" s="81"/>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81"/>
      <c r="I954" s="3"/>
      <c r="J954" s="81"/>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81"/>
      <c r="I955" s="3"/>
      <c r="J955" s="81"/>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81"/>
      <c r="I956" s="3"/>
      <c r="J956" s="81"/>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81"/>
      <c r="I957" s="3"/>
      <c r="J957" s="81"/>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81"/>
      <c r="I958" s="3"/>
      <c r="J958" s="81"/>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81"/>
      <c r="I959" s="3"/>
      <c r="J959" s="81"/>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81"/>
      <c r="I960" s="3"/>
      <c r="J960" s="81"/>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81"/>
      <c r="I961" s="3"/>
      <c r="J961" s="81"/>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81"/>
      <c r="I962" s="3"/>
      <c r="J962" s="81"/>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81"/>
      <c r="I963" s="3"/>
      <c r="J963" s="81"/>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81"/>
      <c r="I964" s="3"/>
      <c r="J964" s="81"/>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81"/>
      <c r="I965" s="3"/>
      <c r="J965" s="81"/>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81"/>
      <c r="I966" s="3"/>
      <c r="J966" s="81"/>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81"/>
      <c r="I967" s="3"/>
      <c r="J967" s="81"/>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81"/>
      <c r="I968" s="3"/>
      <c r="J968" s="81"/>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81"/>
      <c r="I969" s="3"/>
      <c r="J969" s="81"/>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81"/>
      <c r="I970" s="3"/>
      <c r="J970" s="81"/>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81"/>
      <c r="I971" s="3"/>
      <c r="J971" s="81"/>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81"/>
      <c r="I972" s="3"/>
      <c r="J972" s="81"/>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81"/>
      <c r="I973" s="3"/>
      <c r="J973" s="81"/>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81"/>
      <c r="I974" s="3"/>
      <c r="J974" s="81"/>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81"/>
      <c r="I975" s="3"/>
      <c r="J975" s="81"/>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81"/>
      <c r="I976" s="3"/>
      <c r="J976" s="81"/>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81"/>
      <c r="I977" s="3"/>
      <c r="J977" s="81"/>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81"/>
      <c r="I978" s="3"/>
      <c r="J978" s="81"/>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81"/>
      <c r="I979" s="3"/>
      <c r="J979" s="81"/>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81"/>
      <c r="I980" s="3"/>
      <c r="J980" s="81"/>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81"/>
      <c r="I981" s="3"/>
      <c r="J981" s="81"/>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81"/>
      <c r="I982" s="3"/>
      <c r="J982" s="81"/>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81"/>
      <c r="I983" s="3"/>
      <c r="J983" s="81"/>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81"/>
      <c r="I984" s="3"/>
      <c r="J984" s="81"/>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81"/>
      <c r="I985" s="3"/>
      <c r="J985" s="81"/>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81"/>
      <c r="I986" s="3"/>
      <c r="J986" s="81"/>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81"/>
      <c r="I987" s="3"/>
      <c r="J987" s="81"/>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81"/>
      <c r="I988" s="3"/>
      <c r="J988" s="81"/>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81"/>
      <c r="I989" s="3"/>
      <c r="J989" s="81"/>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81"/>
      <c r="I990" s="3"/>
      <c r="J990" s="81"/>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81"/>
      <c r="I991" s="3"/>
      <c r="J991" s="81"/>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81"/>
      <c r="I992" s="3"/>
      <c r="J992" s="81"/>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81"/>
      <c r="I993" s="3"/>
      <c r="J993" s="81"/>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81"/>
      <c r="I994" s="3"/>
      <c r="J994" s="81"/>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81"/>
      <c r="I995" s="3"/>
      <c r="J995" s="81"/>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81"/>
      <c r="I996" s="3"/>
      <c r="J996" s="81"/>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81"/>
      <c r="I997" s="3"/>
      <c r="J997" s="81"/>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81"/>
      <c r="I998" s="3"/>
      <c r="J998" s="81"/>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81"/>
      <c r="I999" s="3"/>
      <c r="J999" s="81"/>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81"/>
      <c r="I1000" s="3"/>
      <c r="J1000" s="81"/>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M23:O23"/>
    <mergeCell ref="M24:O24"/>
    <mergeCell ref="M25:O25"/>
    <mergeCell ref="C16:E16"/>
    <mergeCell ref="M16:O16"/>
    <mergeCell ref="C17:E17"/>
    <mergeCell ref="M17:O17"/>
    <mergeCell ref="C18:E18"/>
    <mergeCell ref="M18:O18"/>
    <mergeCell ref="M19:O19"/>
    <mergeCell ref="C19:E19"/>
    <mergeCell ref="C20:E20"/>
    <mergeCell ref="M20:O20"/>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S5:U7"/>
    <mergeCell ref="W6:X8"/>
    <mergeCell ref="T9:T10"/>
    <mergeCell ref="U9:U10"/>
    <mergeCell ref="W9:W11"/>
    <mergeCell ref="A1:Q1"/>
    <mergeCell ref="S2:AB2"/>
    <mergeCell ref="A4:C6"/>
    <mergeCell ref="S4:U4"/>
    <mergeCell ref="W4:AB5"/>
    <mergeCell ref="E5:H5"/>
    <mergeCell ref="Y6:AB6"/>
    <mergeCell ref="M14:O14"/>
    <mergeCell ref="M15:O15"/>
    <mergeCell ref="J5:O5"/>
    <mergeCell ref="A8:Q8"/>
    <mergeCell ref="C10:O10"/>
    <mergeCell ref="E12:H12"/>
    <mergeCell ref="C13:O13"/>
    <mergeCell ref="C14:E14"/>
    <mergeCell ref="C15:E15"/>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topLeftCell="H19" workbookViewId="0">
      <selection activeCell="L21" sqref="L21"/>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50.69921875" customWidth="1"/>
    <col min="15" max="16" width="1.69921875" customWidth="1"/>
    <col min="17" max="17" width="1" customWidth="1"/>
    <col min="18" max="26" width="10.69921875" customWidth="1"/>
  </cols>
  <sheetData>
    <row r="1" spans="1:26" ht="39.75" customHeight="1" x14ac:dyDescent="0.4">
      <c r="A1" s="144" t="s">
        <v>172</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3" t="s">
        <v>2</v>
      </c>
      <c r="B4" s="204"/>
      <c r="C4" s="205"/>
      <c r="D4" s="6"/>
      <c r="E4" s="7"/>
      <c r="F4" s="7"/>
      <c r="G4" s="7"/>
      <c r="H4" s="7"/>
      <c r="I4" s="7"/>
      <c r="J4" s="7"/>
      <c r="K4" s="7"/>
      <c r="L4" s="7"/>
      <c r="M4" s="7"/>
      <c r="N4" s="7"/>
      <c r="O4" s="7"/>
      <c r="P4" s="7"/>
      <c r="Q4" s="7"/>
      <c r="R4" s="3"/>
      <c r="S4" s="3"/>
      <c r="T4" s="3"/>
      <c r="U4" s="3"/>
      <c r="V4" s="3"/>
      <c r="W4" s="3"/>
      <c r="X4" s="3"/>
      <c r="Y4" s="3"/>
      <c r="Z4" s="3"/>
    </row>
    <row r="5" spans="1:26" ht="31.5" customHeight="1" x14ac:dyDescent="0.3">
      <c r="A5" s="206"/>
      <c r="B5" s="207"/>
      <c r="C5" s="208"/>
      <c r="D5" s="6"/>
      <c r="E5" s="300" t="str">
        <f>'1. Résumé'!E6</f>
        <v>FKT 04/18_Tanambao</v>
      </c>
      <c r="F5" s="199"/>
      <c r="G5" s="199"/>
      <c r="H5" s="200"/>
      <c r="I5" s="7"/>
      <c r="J5" s="260" t="str">
        <f>'1. Résumé'!G8</f>
        <v>Pays : Madagascar</v>
      </c>
      <c r="K5" s="200"/>
      <c r="L5" s="260"/>
      <c r="M5" s="199"/>
      <c r="N5" s="199"/>
      <c r="O5" s="200"/>
      <c r="P5" s="7"/>
      <c r="Q5" s="7"/>
      <c r="R5" s="3"/>
      <c r="S5" s="3"/>
      <c r="T5" s="3"/>
      <c r="U5" s="3"/>
      <c r="V5" s="3"/>
      <c r="W5" s="3"/>
      <c r="X5" s="3"/>
      <c r="Y5" s="3"/>
      <c r="Z5" s="3"/>
    </row>
    <row r="6" spans="1:26" ht="9.75" customHeight="1" x14ac:dyDescent="0.3">
      <c r="A6" s="209"/>
      <c r="B6" s="210"/>
      <c r="C6" s="211"/>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4" t="s">
        <v>173</v>
      </c>
      <c r="B8" s="199"/>
      <c r="C8" s="199"/>
      <c r="D8" s="199"/>
      <c r="E8" s="199"/>
      <c r="F8" s="199"/>
      <c r="G8" s="199"/>
      <c r="H8" s="199"/>
      <c r="I8" s="199"/>
      <c r="J8" s="199"/>
      <c r="K8" s="199"/>
      <c r="L8" s="199"/>
      <c r="M8" s="199"/>
      <c r="N8" s="199"/>
      <c r="O8" s="199"/>
      <c r="P8" s="199"/>
      <c r="Q8" s="200"/>
      <c r="R8" s="3"/>
      <c r="S8" s="3"/>
      <c r="T8" s="3"/>
      <c r="U8" s="3" t="s">
        <v>9</v>
      </c>
      <c r="V8" s="3"/>
      <c r="W8" s="3"/>
      <c r="X8" s="3"/>
      <c r="Y8" s="3"/>
      <c r="Z8" s="3"/>
    </row>
    <row r="9" spans="1:26" ht="9.75" customHeight="1" x14ac:dyDescent="0.3">
      <c r="A9" s="68"/>
      <c r="B9" s="69"/>
      <c r="C9" s="69"/>
      <c r="D9" s="69"/>
      <c r="E9" s="69"/>
      <c r="F9" s="69"/>
      <c r="G9" s="69"/>
      <c r="H9" s="69"/>
      <c r="I9" s="69"/>
      <c r="J9" s="69"/>
      <c r="K9" s="69"/>
      <c r="L9" s="69"/>
      <c r="M9" s="69"/>
      <c r="N9" s="69"/>
      <c r="O9" s="69"/>
      <c r="P9" s="69"/>
      <c r="Q9" s="68"/>
      <c r="R9" s="3"/>
      <c r="S9" s="3"/>
      <c r="T9" s="3"/>
      <c r="U9" s="3"/>
      <c r="V9" s="3"/>
      <c r="W9" s="3"/>
      <c r="X9" s="3"/>
      <c r="Y9" s="3"/>
      <c r="Z9" s="3"/>
    </row>
    <row r="10" spans="1:26" ht="27" customHeight="1" x14ac:dyDescent="0.3">
      <c r="A10" s="68"/>
      <c r="B10" s="69"/>
      <c r="C10" s="301" t="s">
        <v>174</v>
      </c>
      <c r="D10" s="199"/>
      <c r="E10" s="199"/>
      <c r="F10" s="199"/>
      <c r="G10" s="199"/>
      <c r="H10" s="199"/>
      <c r="I10" s="199"/>
      <c r="J10" s="199"/>
      <c r="K10" s="199"/>
      <c r="L10" s="199"/>
      <c r="M10" s="199"/>
      <c r="N10" s="199"/>
      <c r="O10" s="200"/>
      <c r="P10" s="69"/>
      <c r="Q10" s="68"/>
      <c r="R10" s="3"/>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8"/>
      <c r="R11" s="3"/>
      <c r="S11" s="3"/>
      <c r="T11" s="3"/>
      <c r="U11" s="3"/>
      <c r="V11" s="3"/>
      <c r="W11" s="3"/>
      <c r="X11" s="3"/>
      <c r="Y11" s="3"/>
      <c r="Z11" s="3"/>
    </row>
    <row r="12" spans="1:26" ht="15.75" customHeight="1" x14ac:dyDescent="0.3">
      <c r="A12" s="4"/>
      <c r="B12" s="3"/>
      <c r="C12" s="331" t="s">
        <v>175</v>
      </c>
      <c r="D12" s="332"/>
      <c r="E12" s="333"/>
      <c r="F12" s="29"/>
      <c r="G12" s="52" t="s">
        <v>13</v>
      </c>
      <c r="H12" s="123"/>
      <c r="I12" s="123"/>
      <c r="J12" s="52" t="s">
        <v>176</v>
      </c>
      <c r="K12" s="29"/>
      <c r="L12" s="145" t="s">
        <v>177</v>
      </c>
      <c r="M12" s="146"/>
      <c r="N12" s="52" t="s">
        <v>178</v>
      </c>
      <c r="O12" s="146"/>
      <c r="P12" s="3"/>
      <c r="Q12" s="4"/>
      <c r="R12" s="3"/>
      <c r="S12" s="3"/>
      <c r="T12" s="3"/>
      <c r="U12" s="3"/>
      <c r="V12" s="3"/>
      <c r="W12" s="3"/>
      <c r="X12" s="3"/>
      <c r="Y12" s="3"/>
      <c r="Z12" s="3"/>
    </row>
    <row r="13" spans="1:26" ht="15.75" customHeight="1" x14ac:dyDescent="0.3">
      <c r="A13" s="4"/>
      <c r="B13" s="3"/>
      <c r="C13" s="334"/>
      <c r="D13" s="210"/>
      <c r="E13" s="335"/>
      <c r="F13" s="29"/>
      <c r="G13" s="147" t="s">
        <v>9</v>
      </c>
      <c r="H13" s="123"/>
      <c r="I13" s="123"/>
      <c r="J13" s="147" t="s">
        <v>179</v>
      </c>
      <c r="K13" s="29"/>
      <c r="L13" s="148" t="s">
        <v>180</v>
      </c>
      <c r="M13" s="146"/>
      <c r="N13" s="147"/>
      <c r="O13" s="146"/>
      <c r="P13" s="3"/>
      <c r="Q13" s="4"/>
      <c r="R13" s="3"/>
      <c r="S13" s="3"/>
      <c r="T13" s="3"/>
      <c r="U13" s="3"/>
      <c r="V13" s="3"/>
      <c r="W13" s="3"/>
      <c r="X13" s="3"/>
      <c r="Y13" s="3"/>
      <c r="Z13" s="3"/>
    </row>
    <row r="14" spans="1:26" ht="49.5" customHeight="1" x14ac:dyDescent="0.3">
      <c r="A14" s="4"/>
      <c r="B14" s="3"/>
      <c r="C14" s="326" t="s">
        <v>102</v>
      </c>
      <c r="D14" s="327"/>
      <c r="E14" s="328"/>
      <c r="F14" s="93"/>
      <c r="G14" s="149" t="s">
        <v>185</v>
      </c>
      <c r="H14" s="150"/>
      <c r="I14" s="150"/>
      <c r="J14" s="151" t="s">
        <v>326</v>
      </c>
      <c r="K14" s="93"/>
      <c r="L14" s="184" t="s">
        <v>327</v>
      </c>
      <c r="M14" s="153"/>
      <c r="N14" s="185" t="s">
        <v>328</v>
      </c>
      <c r="O14" s="153"/>
      <c r="P14" s="3"/>
      <c r="Q14" s="4"/>
      <c r="R14" s="3"/>
      <c r="S14" s="3"/>
      <c r="T14" s="3"/>
      <c r="U14" s="3"/>
      <c r="V14" s="3"/>
      <c r="W14" s="3"/>
      <c r="X14" s="3"/>
      <c r="Y14" s="3"/>
      <c r="Z14" s="3"/>
    </row>
    <row r="15" spans="1:26" ht="49.5" customHeight="1" x14ac:dyDescent="0.3">
      <c r="A15" s="4"/>
      <c r="B15" s="3"/>
      <c r="C15" s="329"/>
      <c r="D15" s="327"/>
      <c r="E15" s="328"/>
      <c r="F15" s="93"/>
      <c r="G15" s="155" t="s">
        <v>16</v>
      </c>
      <c r="H15" s="150"/>
      <c r="I15" s="150"/>
      <c r="J15" s="156" t="s">
        <v>332</v>
      </c>
      <c r="K15" s="93"/>
      <c r="L15" s="186" t="s">
        <v>333</v>
      </c>
      <c r="M15" s="153"/>
      <c r="N15" s="187" t="s">
        <v>334</v>
      </c>
      <c r="O15" s="153"/>
      <c r="P15" s="3"/>
      <c r="Q15" s="4"/>
      <c r="R15" s="3"/>
      <c r="S15" s="3"/>
      <c r="T15" s="3"/>
      <c r="U15" s="3"/>
      <c r="V15" s="3"/>
      <c r="W15" s="3"/>
      <c r="X15" s="3"/>
      <c r="Y15" s="3"/>
      <c r="Z15" s="3"/>
    </row>
    <row r="16" spans="1:26" ht="49.5" customHeight="1" x14ac:dyDescent="0.3">
      <c r="A16" s="4"/>
      <c r="B16" s="3"/>
      <c r="C16" s="326"/>
      <c r="D16" s="327"/>
      <c r="E16" s="328"/>
      <c r="F16" s="93"/>
      <c r="G16" s="159" t="s">
        <v>112</v>
      </c>
      <c r="H16" s="150"/>
      <c r="I16" s="150"/>
      <c r="J16" s="151" t="s">
        <v>329</v>
      </c>
      <c r="K16" s="93"/>
      <c r="L16" s="184" t="s">
        <v>330</v>
      </c>
      <c r="M16" s="153"/>
      <c r="N16" s="185" t="s">
        <v>331</v>
      </c>
      <c r="O16" s="153"/>
      <c r="P16" s="3"/>
      <c r="Q16" s="4"/>
      <c r="R16" s="3"/>
      <c r="S16" s="3"/>
      <c r="T16" s="3"/>
      <c r="U16" s="3"/>
      <c r="V16" s="3"/>
      <c r="W16" s="3"/>
      <c r="X16" s="3"/>
      <c r="Y16" s="3"/>
      <c r="Z16" s="3"/>
    </row>
    <row r="17" spans="1:26" ht="49.5" customHeight="1" x14ac:dyDescent="0.3">
      <c r="A17" s="4"/>
      <c r="B17" s="3"/>
      <c r="C17" s="329" t="s">
        <v>81</v>
      </c>
      <c r="D17" s="327"/>
      <c r="E17" s="328"/>
      <c r="F17" s="93"/>
      <c r="G17" s="155" t="s">
        <v>17</v>
      </c>
      <c r="H17" s="150"/>
      <c r="I17" s="150"/>
      <c r="J17" s="156" t="s">
        <v>335</v>
      </c>
      <c r="K17" s="93"/>
      <c r="L17" s="186" t="s">
        <v>336</v>
      </c>
      <c r="M17" s="153"/>
      <c r="N17" s="187" t="s">
        <v>337</v>
      </c>
      <c r="O17" s="153"/>
      <c r="P17" s="3"/>
      <c r="Q17" s="4"/>
      <c r="R17" s="3"/>
      <c r="S17" s="3"/>
      <c r="T17" s="3"/>
      <c r="U17" s="3"/>
      <c r="V17" s="3"/>
      <c r="W17" s="3"/>
      <c r="X17" s="3"/>
      <c r="Y17" s="3"/>
      <c r="Z17" s="3"/>
    </row>
    <row r="18" spans="1:26" ht="49.5" customHeight="1" x14ac:dyDescent="0.3">
      <c r="A18" s="4"/>
      <c r="B18" s="3"/>
      <c r="C18" s="326" t="s">
        <v>9</v>
      </c>
      <c r="D18" s="327"/>
      <c r="E18" s="328"/>
      <c r="F18" s="93"/>
      <c r="G18" s="159" t="s">
        <v>18</v>
      </c>
      <c r="H18" s="150"/>
      <c r="I18" s="150"/>
      <c r="J18" s="151" t="s">
        <v>338</v>
      </c>
      <c r="K18" s="93"/>
      <c r="L18" s="184" t="s">
        <v>339</v>
      </c>
      <c r="M18" s="153"/>
      <c r="N18" s="185" t="s">
        <v>340</v>
      </c>
      <c r="O18" s="153"/>
      <c r="P18" s="3"/>
      <c r="Q18" s="4"/>
      <c r="R18" s="3"/>
      <c r="S18" s="3"/>
      <c r="T18" s="3"/>
      <c r="U18" s="3"/>
      <c r="V18" s="3"/>
      <c r="W18" s="3"/>
      <c r="X18" s="3"/>
      <c r="Y18" s="3"/>
      <c r="Z18" s="3"/>
    </row>
    <row r="19" spans="1:26" ht="49.5" customHeight="1" x14ac:dyDescent="0.3">
      <c r="A19" s="4"/>
      <c r="B19" s="3"/>
      <c r="C19" s="329" t="s">
        <v>9</v>
      </c>
      <c r="D19" s="327"/>
      <c r="E19" s="328"/>
      <c r="F19" s="93"/>
      <c r="G19" s="155" t="s">
        <v>185</v>
      </c>
      <c r="H19" s="150"/>
      <c r="I19" s="150"/>
      <c r="J19" s="156" t="s">
        <v>341</v>
      </c>
      <c r="K19" s="93"/>
      <c r="L19" s="186" t="s">
        <v>342</v>
      </c>
      <c r="M19" s="153"/>
      <c r="N19" s="187" t="s">
        <v>343</v>
      </c>
      <c r="O19" s="153"/>
      <c r="P19" s="3"/>
      <c r="Q19" s="4"/>
      <c r="R19" s="3"/>
      <c r="S19" s="3"/>
      <c r="T19" s="3"/>
      <c r="U19" s="3"/>
      <c r="V19" s="3"/>
      <c r="W19" s="3"/>
      <c r="X19" s="3"/>
      <c r="Y19" s="3"/>
      <c r="Z19" s="3"/>
    </row>
    <row r="20" spans="1:26" ht="49.5" customHeight="1" x14ac:dyDescent="0.3">
      <c r="A20" s="4"/>
      <c r="B20" s="3"/>
      <c r="C20" s="330" t="s">
        <v>89</v>
      </c>
      <c r="D20" s="327"/>
      <c r="E20" s="328"/>
      <c r="F20" s="93"/>
      <c r="G20" s="151" t="s">
        <v>16</v>
      </c>
      <c r="H20" s="150"/>
      <c r="I20" s="150"/>
      <c r="J20" s="151" t="s">
        <v>344</v>
      </c>
      <c r="K20" s="93"/>
      <c r="L20" s="184" t="s">
        <v>345</v>
      </c>
      <c r="M20" s="153"/>
      <c r="N20" s="185" t="s">
        <v>346</v>
      </c>
      <c r="O20" s="153"/>
      <c r="P20" s="3"/>
      <c r="Q20" s="4"/>
      <c r="R20" s="3"/>
      <c r="S20" s="3"/>
      <c r="T20" s="3"/>
      <c r="U20" s="3"/>
      <c r="V20" s="3"/>
      <c r="W20" s="3"/>
      <c r="X20" s="3"/>
      <c r="Y20" s="3"/>
      <c r="Z20" s="3"/>
    </row>
    <row r="21" spans="1:26" ht="49.5" customHeight="1" x14ac:dyDescent="0.3">
      <c r="A21" s="4"/>
      <c r="B21" s="3"/>
      <c r="C21" s="336"/>
      <c r="D21" s="327"/>
      <c r="E21" s="328"/>
      <c r="F21" s="93"/>
      <c r="G21" s="156"/>
      <c r="H21" s="150"/>
      <c r="I21" s="150"/>
      <c r="J21" s="156"/>
      <c r="K21" s="93"/>
      <c r="L21" s="157"/>
      <c r="M21" s="153"/>
      <c r="N21" s="158"/>
      <c r="O21" s="153"/>
      <c r="P21" s="3"/>
      <c r="Q21" s="4"/>
      <c r="R21" s="3"/>
      <c r="S21" s="3"/>
      <c r="T21" s="3"/>
      <c r="U21" s="3"/>
      <c r="V21" s="3"/>
      <c r="W21" s="3"/>
      <c r="X21" s="3"/>
      <c r="Y21" s="3"/>
      <c r="Z21" s="3"/>
    </row>
    <row r="22" spans="1:26" ht="49.5" customHeight="1" x14ac:dyDescent="0.3">
      <c r="A22" s="4"/>
      <c r="B22" s="3"/>
      <c r="C22" s="326" t="s">
        <v>9</v>
      </c>
      <c r="D22" s="327"/>
      <c r="E22" s="328"/>
      <c r="F22" s="93"/>
      <c r="G22" s="151"/>
      <c r="H22" s="150"/>
      <c r="I22" s="150"/>
      <c r="J22" s="151"/>
      <c r="K22" s="93"/>
      <c r="L22" s="152"/>
      <c r="M22" s="153"/>
      <c r="N22" s="154"/>
      <c r="O22" s="153"/>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337"/>
      <c r="D25" s="207"/>
      <c r="E25" s="207"/>
      <c r="F25" s="3"/>
      <c r="G25" s="338"/>
      <c r="H25" s="207"/>
      <c r="I25" s="207"/>
      <c r="J25" s="207"/>
      <c r="K25" s="3"/>
      <c r="L25" s="114"/>
      <c r="M25" s="114"/>
      <c r="N25" s="160"/>
      <c r="O25" s="114"/>
      <c r="P25" s="3"/>
      <c r="Q25" s="3"/>
      <c r="R25" s="3"/>
      <c r="S25" s="3"/>
      <c r="T25" s="3"/>
      <c r="U25" s="3"/>
      <c r="V25" s="3"/>
      <c r="W25" s="3"/>
      <c r="X25" s="3"/>
      <c r="Y25" s="3"/>
      <c r="Z25" s="3"/>
    </row>
    <row r="26" spans="1:26" ht="39.75" customHeight="1" x14ac:dyDescent="0.3">
      <c r="A26" s="274" t="s">
        <v>182</v>
      </c>
      <c r="B26" s="199"/>
      <c r="C26" s="199"/>
      <c r="D26" s="199"/>
      <c r="E26" s="199"/>
      <c r="F26" s="199"/>
      <c r="G26" s="199"/>
      <c r="H26" s="199"/>
      <c r="I26" s="199"/>
      <c r="J26" s="199"/>
      <c r="K26" s="199"/>
      <c r="L26" s="199"/>
      <c r="M26" s="199"/>
      <c r="N26" s="199"/>
      <c r="O26" s="199"/>
      <c r="P26" s="199"/>
      <c r="Q26" s="200"/>
      <c r="R26" s="3"/>
      <c r="S26" s="3"/>
      <c r="T26" s="3"/>
      <c r="U26" s="3"/>
      <c r="V26" s="3"/>
      <c r="W26" s="3"/>
      <c r="X26" s="3"/>
      <c r="Y26" s="3"/>
      <c r="Z26" s="3"/>
    </row>
    <row r="27" spans="1:26" ht="9.75" customHeight="1" x14ac:dyDescent="0.3">
      <c r="A27" s="68"/>
      <c r="B27" s="69"/>
      <c r="C27" s="69"/>
      <c r="D27" s="69"/>
      <c r="E27" s="69"/>
      <c r="F27" s="69"/>
      <c r="G27" s="69"/>
      <c r="H27" s="69"/>
      <c r="I27" s="69"/>
      <c r="J27" s="69"/>
      <c r="K27" s="69"/>
      <c r="L27" s="69"/>
      <c r="M27" s="69"/>
      <c r="N27" s="69"/>
      <c r="O27" s="69"/>
      <c r="P27" s="69"/>
      <c r="Q27" s="68"/>
      <c r="R27" s="3"/>
      <c r="S27" s="3"/>
      <c r="T27" s="3"/>
      <c r="U27" s="3"/>
      <c r="V27" s="3"/>
      <c r="W27" s="3"/>
      <c r="X27" s="3"/>
      <c r="Y27" s="3"/>
      <c r="Z27" s="3"/>
    </row>
    <row r="28" spans="1:26" ht="19.5" customHeight="1" x14ac:dyDescent="0.3">
      <c r="A28" s="68"/>
      <c r="B28" s="69"/>
      <c r="C28" s="212" t="s">
        <v>183</v>
      </c>
      <c r="D28" s="199"/>
      <c r="E28" s="199"/>
      <c r="F28" s="199"/>
      <c r="G28" s="199"/>
      <c r="H28" s="199"/>
      <c r="I28" s="199"/>
      <c r="J28" s="199"/>
      <c r="K28" s="199"/>
      <c r="L28" s="199"/>
      <c r="M28" s="199"/>
      <c r="N28" s="199"/>
      <c r="O28" s="200"/>
      <c r="P28" s="69"/>
      <c r="Q28" s="68"/>
      <c r="R28" s="3"/>
      <c r="S28" s="3"/>
      <c r="T28" s="3"/>
      <c r="U28" s="3"/>
      <c r="V28" s="3"/>
      <c r="W28" s="3"/>
      <c r="X28" s="3"/>
      <c r="Y28" s="3"/>
      <c r="Z28" s="3"/>
    </row>
    <row r="29" spans="1:26" ht="9.75" customHeight="1" x14ac:dyDescent="0.3">
      <c r="A29" s="4"/>
      <c r="B29" s="3"/>
      <c r="C29" s="3" t="s">
        <v>9</v>
      </c>
      <c r="D29" s="3"/>
      <c r="E29" s="3"/>
      <c r="F29" s="3"/>
      <c r="G29" s="3"/>
      <c r="H29" s="3" t="s">
        <v>9</v>
      </c>
      <c r="I29" s="3"/>
      <c r="J29" s="3"/>
      <c r="K29" s="3"/>
      <c r="L29" s="3"/>
      <c r="M29" s="3"/>
      <c r="N29" s="3"/>
      <c r="O29" s="3"/>
      <c r="P29" s="3"/>
      <c r="Q29" s="4"/>
      <c r="R29" s="3"/>
      <c r="S29" s="3"/>
      <c r="T29" s="3"/>
      <c r="U29" s="3"/>
      <c r="V29" s="3"/>
      <c r="W29" s="3"/>
      <c r="X29" s="3"/>
      <c r="Y29" s="3"/>
      <c r="Z29" s="3"/>
    </row>
    <row r="30" spans="1:26" ht="300" customHeight="1" x14ac:dyDescent="0.3">
      <c r="A30" s="4"/>
      <c r="B30" s="3"/>
      <c r="C30" s="251" t="s">
        <v>238</v>
      </c>
      <c r="D30" s="226"/>
      <c r="E30" s="226"/>
      <c r="F30" s="226"/>
      <c r="G30" s="226"/>
      <c r="H30" s="226"/>
      <c r="I30" s="226"/>
      <c r="J30" s="226"/>
      <c r="K30" s="226"/>
      <c r="L30" s="226"/>
      <c r="M30" s="226"/>
      <c r="N30" s="226"/>
      <c r="O30" s="325"/>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9</v>
      </c>
      <c r="E33" s="3"/>
      <c r="F33" s="3"/>
      <c r="G33" s="65" t="s">
        <v>184</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9</v>
      </c>
      <c r="D34" s="102" t="s">
        <v>9</v>
      </c>
      <c r="E34" s="3"/>
      <c r="F34" s="3"/>
      <c r="G34" s="161" t="s">
        <v>181</v>
      </c>
      <c r="H34" s="3"/>
      <c r="I34" s="162"/>
      <c r="J34" s="162"/>
      <c r="K34" s="3"/>
      <c r="L34" s="3"/>
      <c r="M34" s="3"/>
      <c r="N34" s="3"/>
      <c r="O34" s="3"/>
      <c r="P34" s="3"/>
      <c r="Q34" s="3"/>
      <c r="R34" s="3"/>
      <c r="S34" s="3"/>
      <c r="T34" s="3"/>
      <c r="U34" s="3"/>
      <c r="V34" s="3"/>
      <c r="W34" s="3"/>
      <c r="X34" s="3"/>
      <c r="Y34" s="3"/>
      <c r="Z34" s="3"/>
    </row>
    <row r="35" spans="1:26" ht="12.75" customHeight="1" x14ac:dyDescent="0.3">
      <c r="A35" s="3"/>
      <c r="B35" s="3"/>
      <c r="C35" s="3" t="s">
        <v>9</v>
      </c>
      <c r="D35" s="102" t="s">
        <v>9</v>
      </c>
      <c r="E35" s="3"/>
      <c r="F35" s="3"/>
      <c r="G35" s="161" t="s">
        <v>16</v>
      </c>
      <c r="H35" s="3"/>
      <c r="I35" s="162"/>
      <c r="J35" s="162"/>
      <c r="K35" s="3"/>
      <c r="L35" s="3"/>
      <c r="M35" s="3"/>
      <c r="N35" s="3"/>
      <c r="O35" s="3"/>
      <c r="P35" s="3"/>
      <c r="Q35" s="3"/>
      <c r="R35" s="3"/>
      <c r="S35" s="3"/>
      <c r="T35" s="3"/>
      <c r="U35" s="3"/>
      <c r="V35" s="3"/>
      <c r="W35" s="3"/>
      <c r="X35" s="3"/>
      <c r="Y35" s="3"/>
      <c r="Z35" s="3"/>
    </row>
    <row r="36" spans="1:26" ht="12.75" customHeight="1" x14ac:dyDescent="0.3">
      <c r="A36" s="3"/>
      <c r="B36" s="3"/>
      <c r="C36" s="3" t="s">
        <v>9</v>
      </c>
      <c r="D36" s="102" t="s">
        <v>9</v>
      </c>
      <c r="E36" s="3"/>
      <c r="F36" s="3"/>
      <c r="G36" s="161" t="s">
        <v>17</v>
      </c>
      <c r="H36" s="3"/>
      <c r="I36" s="162"/>
      <c r="J36" s="162"/>
      <c r="K36" s="3"/>
      <c r="L36" s="3"/>
      <c r="M36" s="3"/>
      <c r="N36" s="3"/>
      <c r="O36" s="3"/>
      <c r="P36" s="3"/>
      <c r="Q36" s="3"/>
      <c r="R36" s="3"/>
      <c r="S36" s="3"/>
      <c r="T36" s="3"/>
      <c r="U36" s="3"/>
      <c r="V36" s="3"/>
      <c r="W36" s="3"/>
      <c r="X36" s="3"/>
      <c r="Y36" s="3"/>
      <c r="Z36" s="3"/>
    </row>
    <row r="37" spans="1:26" ht="12.75" customHeight="1" x14ac:dyDescent="0.3">
      <c r="A37" s="3"/>
      <c r="B37" s="3"/>
      <c r="C37" s="3" t="s">
        <v>9</v>
      </c>
      <c r="D37" s="102" t="s">
        <v>9</v>
      </c>
      <c r="E37" s="3"/>
      <c r="F37" s="3"/>
      <c r="G37" s="161" t="s">
        <v>18</v>
      </c>
      <c r="H37" s="3"/>
      <c r="I37" s="162"/>
      <c r="J37" s="162"/>
      <c r="K37" s="3"/>
      <c r="L37" s="3"/>
      <c r="M37" s="3"/>
      <c r="N37" s="3"/>
      <c r="O37" s="3"/>
      <c r="P37" s="3"/>
      <c r="Q37" s="3"/>
      <c r="R37" s="3"/>
      <c r="S37" s="3"/>
      <c r="T37" s="3"/>
      <c r="U37" s="3"/>
      <c r="V37" s="3"/>
      <c r="W37" s="3"/>
      <c r="X37" s="3"/>
      <c r="Y37" s="3"/>
      <c r="Z37" s="3"/>
    </row>
    <row r="38" spans="1:26" ht="12.75" customHeight="1" x14ac:dyDescent="0.3">
      <c r="A38" s="3"/>
      <c r="B38" s="3"/>
      <c r="C38" s="3"/>
      <c r="D38" s="102"/>
      <c r="E38" s="3"/>
      <c r="F38" s="3"/>
      <c r="G38" s="161" t="s">
        <v>19</v>
      </c>
      <c r="H38" s="3"/>
      <c r="I38" s="162"/>
      <c r="J38" s="162"/>
      <c r="K38" s="3"/>
      <c r="L38" s="3"/>
      <c r="M38" s="3"/>
      <c r="N38" s="3"/>
      <c r="O38" s="3"/>
      <c r="P38" s="3"/>
      <c r="Q38" s="3"/>
      <c r="R38" s="3"/>
      <c r="S38" s="3"/>
      <c r="T38" s="3"/>
      <c r="U38" s="3"/>
      <c r="V38" s="3"/>
      <c r="W38" s="3"/>
      <c r="X38" s="3"/>
      <c r="Y38" s="3"/>
      <c r="Z38" s="3"/>
    </row>
    <row r="39" spans="1:26" ht="12.75" customHeight="1" x14ac:dyDescent="0.3">
      <c r="A39" s="3"/>
      <c r="B39" s="3"/>
      <c r="C39" s="3"/>
      <c r="D39" s="102"/>
      <c r="E39" s="3"/>
      <c r="F39" s="3"/>
      <c r="G39" s="161" t="s">
        <v>112</v>
      </c>
      <c r="H39" s="3"/>
      <c r="I39" s="162"/>
      <c r="J39" s="162"/>
      <c r="K39" s="3"/>
      <c r="L39" s="3"/>
      <c r="M39" s="3"/>
      <c r="N39" s="3"/>
      <c r="O39" s="3"/>
      <c r="P39" s="3"/>
      <c r="Q39" s="3"/>
      <c r="R39" s="3"/>
      <c r="S39" s="3"/>
      <c r="T39" s="3"/>
      <c r="U39" s="3"/>
      <c r="V39" s="3"/>
      <c r="W39" s="3"/>
      <c r="X39" s="3"/>
      <c r="Y39" s="3"/>
      <c r="Z39" s="3"/>
    </row>
    <row r="40" spans="1:26" ht="12.75" customHeight="1" x14ac:dyDescent="0.3">
      <c r="A40" s="3"/>
      <c r="B40" s="3"/>
      <c r="C40" s="103" t="s">
        <v>9</v>
      </c>
      <c r="D40" s="3"/>
      <c r="E40" s="3"/>
      <c r="F40" s="3"/>
      <c r="G40" s="161" t="s">
        <v>185</v>
      </c>
      <c r="H40" s="3"/>
      <c r="I40" s="162"/>
      <c r="J40" s="162"/>
      <c r="K40" s="3"/>
      <c r="L40" s="3"/>
      <c r="M40" s="3"/>
      <c r="N40" s="3"/>
      <c r="O40" s="3"/>
      <c r="P40" s="3"/>
      <c r="Q40" s="3"/>
      <c r="R40" s="3"/>
      <c r="S40" s="3"/>
      <c r="T40" s="3"/>
      <c r="U40" s="3"/>
      <c r="V40" s="3"/>
      <c r="W40" s="3"/>
      <c r="X40" s="3"/>
      <c r="Y40" s="3"/>
      <c r="Z40" s="3"/>
    </row>
    <row r="41" spans="1:26" ht="12.75" customHeight="1" x14ac:dyDescent="0.3">
      <c r="A41" s="3"/>
      <c r="B41" s="3"/>
      <c r="C41" s="3" t="s">
        <v>9</v>
      </c>
      <c r="D41" s="3"/>
      <c r="E41" s="3"/>
      <c r="F41" s="3"/>
      <c r="G41" s="161" t="s">
        <v>114</v>
      </c>
      <c r="H41" s="3"/>
      <c r="I41" s="162"/>
      <c r="J41" s="162"/>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61" t="s">
        <v>186</v>
      </c>
      <c r="H42" s="3"/>
      <c r="I42" s="162"/>
      <c r="J42" s="162"/>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61" t="s">
        <v>166</v>
      </c>
      <c r="H43" s="3"/>
      <c r="I43" s="162"/>
      <c r="J43" s="162"/>
      <c r="K43" s="3"/>
      <c r="L43" s="3"/>
      <c r="M43" s="3"/>
      <c r="N43" s="3"/>
      <c r="O43" s="3"/>
      <c r="P43" s="3"/>
      <c r="Q43" s="3"/>
      <c r="R43" s="3"/>
      <c r="S43" s="3"/>
      <c r="T43" s="3"/>
      <c r="U43" s="3"/>
      <c r="V43" s="3"/>
      <c r="W43" s="3"/>
      <c r="X43" s="3"/>
      <c r="Y43" s="3"/>
      <c r="Z43" s="3"/>
    </row>
    <row r="44" spans="1:26" ht="12.75" customHeight="1" x14ac:dyDescent="0.3">
      <c r="A44" s="3"/>
      <c r="B44" s="3"/>
      <c r="C44" s="3" t="s">
        <v>9</v>
      </c>
      <c r="D44" s="3"/>
      <c r="E44" s="3"/>
      <c r="F44" s="3"/>
      <c r="G44" s="161" t="s">
        <v>25</v>
      </c>
      <c r="H44" s="3"/>
      <c r="I44" s="162"/>
      <c r="J44" s="162"/>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62"/>
      <c r="J45" s="162"/>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62"/>
      <c r="J46" s="162"/>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62"/>
      <c r="J47" s="162"/>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62"/>
      <c r="J48" s="162"/>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4:C6"/>
    <mergeCell ref="E5:H5"/>
    <mergeCell ref="J5:K5"/>
    <mergeCell ref="L5:O5"/>
    <mergeCell ref="A8:Q8"/>
    <mergeCell ref="C10:O10"/>
    <mergeCell ref="C12:E13"/>
    <mergeCell ref="C21:E21"/>
    <mergeCell ref="C22:E22"/>
    <mergeCell ref="C25:E25"/>
    <mergeCell ref="G25:J25"/>
    <mergeCell ref="A26:Q26"/>
    <mergeCell ref="C28:O28"/>
    <mergeCell ref="C30:O30"/>
    <mergeCell ref="C14:E14"/>
    <mergeCell ref="C15:E15"/>
    <mergeCell ref="C16:E16"/>
    <mergeCell ref="C17:E17"/>
    <mergeCell ref="C18:E18"/>
    <mergeCell ref="C19:E19"/>
    <mergeCell ref="C20:E20"/>
  </mergeCells>
  <dataValidations count="3">
    <dataValidation type="list" allowBlank="1" showErrorMessage="1" sqref="M14:M22 O14:O22 L25:M25 O25"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orientation="portrait"/>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997"/>
  <sheetViews>
    <sheetView showGridLines="0" topLeftCell="A16" workbookViewId="0">
      <selection activeCell="G18" sqref="G18"/>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44" t="s">
        <v>187</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63" t="s">
        <v>9</v>
      </c>
      <c r="B3" s="340"/>
      <c r="C3" s="204"/>
      <c r="D3" s="205"/>
      <c r="E3" s="6"/>
      <c r="F3" s="6"/>
      <c r="G3" s="7"/>
      <c r="H3" s="7"/>
      <c r="I3" s="7"/>
      <c r="J3" s="7"/>
      <c r="K3" s="7"/>
      <c r="L3" s="7"/>
      <c r="M3" s="7"/>
      <c r="N3" s="7"/>
      <c r="O3" s="7"/>
      <c r="P3" s="3"/>
      <c r="Q3" s="3"/>
      <c r="R3" s="3"/>
      <c r="S3" s="3"/>
      <c r="T3" s="3"/>
      <c r="U3" s="3"/>
      <c r="V3" s="3"/>
      <c r="W3" s="3"/>
      <c r="X3" s="3"/>
      <c r="Y3" s="3"/>
      <c r="Z3" s="3"/>
    </row>
    <row r="4" spans="1:26" ht="31.5" customHeight="1" x14ac:dyDescent="0.3">
      <c r="A4" s="163"/>
      <c r="B4" s="206"/>
      <c r="C4" s="207"/>
      <c r="D4" s="208"/>
      <c r="E4" s="300" t="str">
        <f>'1. Résumé'!E6</f>
        <v>FKT 04/18_Tanambao</v>
      </c>
      <c r="F4" s="199"/>
      <c r="G4" s="200"/>
      <c r="H4" s="164"/>
      <c r="I4" s="300" t="str">
        <f>'1. Résumé'!E10</f>
        <v>Société nationale : Croix-Rouge Malagasy</v>
      </c>
      <c r="J4" s="199"/>
      <c r="K4" s="200"/>
      <c r="L4" s="164"/>
      <c r="M4" s="164"/>
      <c r="N4" s="7"/>
      <c r="O4" s="7"/>
      <c r="P4" s="3"/>
      <c r="Q4" s="3"/>
      <c r="R4" s="3"/>
      <c r="S4" s="3"/>
      <c r="T4" s="3"/>
      <c r="U4" s="3"/>
      <c r="V4" s="3"/>
      <c r="W4" s="3"/>
      <c r="X4" s="3"/>
      <c r="Y4" s="3"/>
      <c r="Z4" s="3"/>
    </row>
    <row r="5" spans="1:26" ht="9.75" customHeight="1" x14ac:dyDescent="0.3">
      <c r="A5" s="163"/>
      <c r="B5" s="209"/>
      <c r="C5" s="210"/>
      <c r="D5" s="211"/>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274" t="s">
        <v>188</v>
      </c>
      <c r="B7" s="199"/>
      <c r="C7" s="199"/>
      <c r="D7" s="199"/>
      <c r="E7" s="199"/>
      <c r="F7" s="199"/>
      <c r="G7" s="199"/>
      <c r="H7" s="199"/>
      <c r="I7" s="199"/>
      <c r="J7" s="199"/>
      <c r="K7" s="199"/>
      <c r="L7" s="199"/>
      <c r="M7" s="199"/>
      <c r="N7" s="199"/>
      <c r="O7" s="199"/>
      <c r="P7" s="199"/>
      <c r="Q7" s="200"/>
      <c r="R7" s="3"/>
      <c r="S7" s="3"/>
      <c r="T7" s="3"/>
      <c r="U7" s="3" t="s">
        <v>9</v>
      </c>
      <c r="V7" s="3"/>
      <c r="W7" s="3"/>
      <c r="X7" s="3"/>
      <c r="Y7" s="3"/>
      <c r="Z7" s="3"/>
    </row>
    <row r="8" spans="1:26" ht="9.75" customHeight="1" x14ac:dyDescent="0.3">
      <c r="A8" s="68"/>
      <c r="B8" s="69"/>
      <c r="C8" s="69"/>
      <c r="D8" s="69"/>
      <c r="E8" s="69"/>
      <c r="F8" s="69"/>
      <c r="G8" s="69"/>
      <c r="H8" s="69"/>
      <c r="I8" s="69"/>
      <c r="J8" s="69"/>
      <c r="K8" s="69"/>
      <c r="L8" s="69"/>
      <c r="M8" s="69"/>
      <c r="N8" s="69"/>
      <c r="O8" s="69"/>
      <c r="P8" s="69"/>
      <c r="Q8" s="68"/>
      <c r="R8" s="3"/>
      <c r="S8" s="3"/>
      <c r="T8" s="3"/>
      <c r="U8" s="3"/>
      <c r="V8" s="3"/>
      <c r="W8" s="3"/>
      <c r="X8" s="3"/>
      <c r="Y8" s="3"/>
      <c r="Z8" s="3"/>
    </row>
    <row r="9" spans="1:26" ht="19.5" customHeight="1" x14ac:dyDescent="0.3">
      <c r="A9" s="68"/>
      <c r="B9" s="69"/>
      <c r="C9" s="301" t="s">
        <v>189</v>
      </c>
      <c r="D9" s="199"/>
      <c r="E9" s="199"/>
      <c r="F9" s="199"/>
      <c r="G9" s="199"/>
      <c r="H9" s="199"/>
      <c r="I9" s="199"/>
      <c r="J9" s="199"/>
      <c r="K9" s="199"/>
      <c r="L9" s="199"/>
      <c r="M9" s="199"/>
      <c r="N9" s="199"/>
      <c r="O9" s="200"/>
      <c r="P9" s="69"/>
      <c r="Q9" s="68"/>
      <c r="R9" s="3"/>
      <c r="S9" s="3"/>
      <c r="T9" s="3"/>
      <c r="U9" s="3"/>
      <c r="V9" s="3"/>
      <c r="W9" s="3"/>
      <c r="X9" s="3"/>
      <c r="Y9" s="3"/>
      <c r="Z9" s="3"/>
    </row>
    <row r="10" spans="1:26" ht="9.75" customHeight="1" x14ac:dyDescent="0.3">
      <c r="A10" s="68"/>
      <c r="B10" s="69"/>
      <c r="C10" s="69"/>
      <c r="D10" s="69"/>
      <c r="E10" s="69"/>
      <c r="F10" s="69"/>
      <c r="G10" s="69"/>
      <c r="H10" s="69"/>
      <c r="I10" s="69"/>
      <c r="J10" s="69"/>
      <c r="K10" s="69"/>
      <c r="L10" s="69"/>
      <c r="M10" s="69"/>
      <c r="N10" s="69"/>
      <c r="O10" s="69"/>
      <c r="P10" s="69"/>
      <c r="Q10" s="68"/>
      <c r="R10" s="3"/>
      <c r="S10" s="3"/>
      <c r="T10" s="3"/>
      <c r="U10" s="3"/>
      <c r="V10" s="3"/>
      <c r="W10" s="3"/>
      <c r="X10" s="3"/>
      <c r="Y10" s="3"/>
      <c r="Z10" s="3"/>
    </row>
    <row r="11" spans="1:26" ht="12" customHeight="1" x14ac:dyDescent="0.3">
      <c r="A11" s="4"/>
      <c r="B11" s="3"/>
      <c r="C11" s="165" t="s">
        <v>190</v>
      </c>
      <c r="D11" s="3"/>
      <c r="E11" s="165" t="s">
        <v>191</v>
      </c>
      <c r="F11" s="3"/>
      <c r="G11" s="165" t="s">
        <v>192</v>
      </c>
      <c r="H11" s="3"/>
      <c r="I11" s="165" t="s">
        <v>193</v>
      </c>
      <c r="J11" s="3"/>
      <c r="K11" s="165" t="s">
        <v>194</v>
      </c>
      <c r="L11" s="3"/>
      <c r="M11" s="165" t="s">
        <v>195</v>
      </c>
      <c r="N11" s="3"/>
      <c r="O11" s="165" t="s">
        <v>196</v>
      </c>
      <c r="P11" s="3"/>
      <c r="Q11" s="4"/>
      <c r="R11" s="3"/>
      <c r="S11" s="3"/>
      <c r="T11" s="3"/>
      <c r="U11" s="3"/>
      <c r="V11" s="3"/>
      <c r="W11" s="3"/>
      <c r="X11" s="3"/>
      <c r="Y11" s="3"/>
      <c r="Z11" s="3"/>
    </row>
    <row r="12" spans="1:26" ht="9.75" customHeight="1" x14ac:dyDescent="0.3">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9.75" customHeight="1" x14ac:dyDescent="0.3">
      <c r="A13" s="4"/>
      <c r="B13" s="3"/>
      <c r="C13" s="3"/>
      <c r="D13" s="3"/>
      <c r="E13" s="3"/>
      <c r="F13" s="3"/>
      <c r="G13" s="3"/>
      <c r="H13" s="3"/>
      <c r="I13" s="3"/>
      <c r="J13" s="3"/>
      <c r="K13" s="3"/>
      <c r="L13" s="3"/>
      <c r="M13" s="3"/>
      <c r="N13" s="3"/>
      <c r="O13" s="3"/>
      <c r="P13" s="3"/>
      <c r="Q13" s="4"/>
      <c r="R13" s="3"/>
      <c r="S13" s="3"/>
      <c r="T13" s="3"/>
      <c r="U13" s="3"/>
      <c r="V13" s="3"/>
      <c r="W13" s="3"/>
      <c r="X13" s="3"/>
      <c r="Y13" s="3"/>
      <c r="Z13" s="3"/>
    </row>
    <row r="14" spans="1:26" ht="60" customHeight="1" x14ac:dyDescent="0.3">
      <c r="A14" s="4"/>
      <c r="B14" s="3"/>
      <c r="C14" s="166" t="s">
        <v>213</v>
      </c>
      <c r="D14" s="3"/>
      <c r="E14" s="167" t="s">
        <v>349</v>
      </c>
      <c r="F14" s="3"/>
      <c r="G14" s="167" t="s">
        <v>356</v>
      </c>
      <c r="H14" s="3"/>
      <c r="I14" s="167" t="s">
        <v>353</v>
      </c>
      <c r="J14" s="3"/>
      <c r="K14" s="167" t="s">
        <v>214</v>
      </c>
      <c r="L14" s="3"/>
      <c r="M14" s="167" t="s">
        <v>218</v>
      </c>
      <c r="N14" s="3"/>
      <c r="O14" s="167" t="s">
        <v>216</v>
      </c>
      <c r="P14" s="3"/>
      <c r="Q14" s="4"/>
      <c r="R14" s="3"/>
      <c r="S14" s="3"/>
      <c r="T14" s="3"/>
      <c r="U14" s="3"/>
      <c r="V14" s="3"/>
      <c r="W14" s="3"/>
      <c r="X14" s="3"/>
      <c r="Y14" s="3"/>
      <c r="Z14" s="3"/>
    </row>
    <row r="15" spans="1:26" ht="9.75" customHeight="1" x14ac:dyDescent="0.3">
      <c r="A15" s="4"/>
      <c r="B15" s="3"/>
      <c r="C15" s="3"/>
      <c r="D15" s="3"/>
      <c r="E15" s="3"/>
      <c r="F15" s="3"/>
      <c r="G15" s="3"/>
      <c r="H15" s="3"/>
      <c r="I15" s="3"/>
      <c r="J15" s="3"/>
      <c r="K15" s="3"/>
      <c r="L15" s="3"/>
      <c r="M15" s="3"/>
      <c r="N15" s="3"/>
      <c r="O15" s="3"/>
      <c r="P15" s="3"/>
      <c r="Q15" s="4"/>
      <c r="R15" s="3"/>
      <c r="S15" s="3"/>
      <c r="T15" s="3"/>
      <c r="U15" s="3"/>
      <c r="V15" s="3"/>
      <c r="W15" s="3"/>
      <c r="X15" s="3"/>
      <c r="Y15" s="3"/>
      <c r="Z15" s="3"/>
    </row>
    <row r="16" spans="1:26" ht="60" customHeight="1" x14ac:dyDescent="0.3">
      <c r="A16" s="4"/>
      <c r="B16" s="3"/>
      <c r="C16" s="166" t="s">
        <v>211</v>
      </c>
      <c r="D16" s="3"/>
      <c r="E16" s="167" t="s">
        <v>347</v>
      </c>
      <c r="F16" s="3"/>
      <c r="G16" s="167" t="s">
        <v>355</v>
      </c>
      <c r="H16" s="3"/>
      <c r="I16" s="167" t="s">
        <v>351</v>
      </c>
      <c r="J16" s="3"/>
      <c r="K16" s="167" t="s">
        <v>354</v>
      </c>
      <c r="L16" s="3"/>
      <c r="M16" s="167" t="s">
        <v>231</v>
      </c>
      <c r="N16" s="3"/>
      <c r="O16" s="168" t="s">
        <v>232</v>
      </c>
      <c r="P16" s="3"/>
      <c r="Q16" s="4"/>
      <c r="R16" s="3"/>
      <c r="S16" s="3"/>
      <c r="T16" s="3"/>
      <c r="U16" s="3"/>
      <c r="V16" s="3"/>
      <c r="W16" s="3"/>
      <c r="X16" s="3"/>
      <c r="Y16" s="3"/>
      <c r="Z16" s="3"/>
    </row>
    <row r="17" spans="1:26" ht="9.75" customHeight="1" x14ac:dyDescent="0.3">
      <c r="A17" s="4"/>
      <c r="B17" s="3"/>
      <c r="C17" s="3"/>
      <c r="D17" s="3"/>
      <c r="E17" s="3"/>
      <c r="F17" s="3"/>
      <c r="G17" s="3"/>
      <c r="H17" s="3"/>
      <c r="I17" s="3"/>
      <c r="J17" s="3"/>
      <c r="K17" s="3"/>
      <c r="L17" s="3"/>
      <c r="M17" s="3"/>
      <c r="N17" s="3"/>
      <c r="O17" s="3"/>
      <c r="P17" s="3"/>
      <c r="Q17" s="4"/>
      <c r="R17" s="3"/>
      <c r="S17" s="3"/>
      <c r="T17" s="3"/>
      <c r="U17" s="3"/>
      <c r="V17" s="3"/>
      <c r="W17" s="3"/>
      <c r="X17" s="3"/>
      <c r="Y17" s="3"/>
      <c r="Z17" s="3"/>
    </row>
    <row r="18" spans="1:26" ht="60" customHeight="1" x14ac:dyDescent="0.3">
      <c r="A18" s="4"/>
      <c r="B18" s="3"/>
      <c r="C18" s="166" t="s">
        <v>212</v>
      </c>
      <c r="D18" s="3"/>
      <c r="E18" s="167" t="s">
        <v>350</v>
      </c>
      <c r="F18" s="3"/>
      <c r="G18" s="167" t="s">
        <v>348</v>
      </c>
      <c r="H18" s="3"/>
      <c r="I18" s="167" t="s">
        <v>352</v>
      </c>
      <c r="J18" s="3"/>
      <c r="K18" s="167" t="s">
        <v>214</v>
      </c>
      <c r="L18" s="3"/>
      <c r="M18" s="167" t="s">
        <v>219</v>
      </c>
      <c r="N18" s="3"/>
      <c r="O18" s="167" t="s">
        <v>215</v>
      </c>
      <c r="P18" s="3"/>
      <c r="Q18" s="4"/>
      <c r="R18" s="3"/>
      <c r="S18" s="3"/>
      <c r="T18" s="3"/>
      <c r="U18" s="3"/>
      <c r="V18" s="3"/>
      <c r="W18" s="3"/>
      <c r="X18" s="3"/>
      <c r="Y18" s="3"/>
      <c r="Z18" s="3"/>
    </row>
    <row r="19" spans="1:26" ht="9.75" customHeight="1" x14ac:dyDescent="0.3">
      <c r="A19" s="4"/>
      <c r="B19" s="3"/>
      <c r="C19" s="3"/>
      <c r="D19" s="3"/>
      <c r="E19" s="3"/>
      <c r="F19" s="3"/>
      <c r="G19" s="3"/>
      <c r="H19" s="3"/>
      <c r="I19" s="3"/>
      <c r="J19" s="3"/>
      <c r="K19" s="3"/>
      <c r="L19" s="3"/>
      <c r="M19" s="3"/>
      <c r="N19" s="3"/>
      <c r="O19" s="3"/>
      <c r="P19" s="3"/>
      <c r="Q19" s="4"/>
      <c r="R19" s="3"/>
      <c r="S19" s="3"/>
      <c r="T19" s="3"/>
      <c r="U19" s="3"/>
      <c r="V19" s="3"/>
      <c r="W19" s="3"/>
      <c r="X19" s="3"/>
      <c r="Y19" s="3"/>
      <c r="Z19" s="3"/>
    </row>
    <row r="20" spans="1:26" ht="60" customHeight="1" x14ac:dyDescent="0.3">
      <c r="A20" s="4"/>
      <c r="B20" s="3"/>
      <c r="C20" s="166"/>
      <c r="D20" s="3"/>
      <c r="E20" s="167"/>
      <c r="F20" s="3"/>
      <c r="G20" s="167"/>
      <c r="H20" s="3"/>
      <c r="I20" s="167"/>
      <c r="J20" s="3"/>
      <c r="K20" s="167"/>
      <c r="L20" s="3"/>
      <c r="M20" s="167"/>
      <c r="N20" s="3"/>
      <c r="O20" s="167"/>
      <c r="P20" s="3"/>
      <c r="Q20" s="4"/>
      <c r="R20" s="3"/>
      <c r="S20" s="3"/>
      <c r="T20" s="3"/>
      <c r="U20" s="3"/>
      <c r="V20" s="3"/>
      <c r="W20" s="3"/>
      <c r="X20" s="3"/>
      <c r="Y20" s="3"/>
      <c r="Z20" s="3"/>
    </row>
    <row r="21" spans="1:26" ht="9.75" customHeight="1" x14ac:dyDescent="0.3">
      <c r="A21" s="4"/>
      <c r="B21" s="3"/>
      <c r="C21" s="3"/>
      <c r="D21" s="3"/>
      <c r="E21" s="3"/>
      <c r="F21" s="3"/>
      <c r="G21" s="3"/>
      <c r="H21" s="3"/>
      <c r="I21" s="3"/>
      <c r="J21" s="3"/>
      <c r="K21" s="3"/>
      <c r="L21" s="3"/>
      <c r="M21" s="3"/>
      <c r="N21" s="3"/>
      <c r="O21" s="3"/>
      <c r="P21" s="3"/>
      <c r="Q21" s="4"/>
      <c r="R21" s="3"/>
      <c r="S21" s="3"/>
      <c r="T21" s="3"/>
      <c r="U21" s="3"/>
      <c r="V21" s="3"/>
      <c r="W21" s="3"/>
      <c r="X21" s="3"/>
      <c r="Y21" s="3"/>
      <c r="Z21" s="3"/>
    </row>
    <row r="22" spans="1:26" ht="60" customHeight="1" x14ac:dyDescent="0.3">
      <c r="A22" s="4"/>
      <c r="B22" s="3"/>
      <c r="C22" s="166"/>
      <c r="D22" s="3"/>
      <c r="E22" s="167"/>
      <c r="F22" s="3"/>
      <c r="G22" s="167"/>
      <c r="H22" s="3"/>
      <c r="I22" s="167"/>
      <c r="J22" s="3"/>
      <c r="K22" s="167"/>
      <c r="L22" s="3"/>
      <c r="M22" s="167"/>
      <c r="N22" s="3"/>
      <c r="O22" s="167"/>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60" customHeight="1" x14ac:dyDescent="0.3">
      <c r="A24" s="4"/>
      <c r="B24" s="3"/>
      <c r="C24" s="166"/>
      <c r="D24" s="3"/>
      <c r="E24" s="167"/>
      <c r="F24" s="3"/>
      <c r="G24" s="167"/>
      <c r="H24" s="3"/>
      <c r="I24" s="167"/>
      <c r="J24" s="3"/>
      <c r="K24" s="167"/>
      <c r="L24" s="3"/>
      <c r="M24" s="167"/>
      <c r="N24" s="3"/>
      <c r="O24" s="167"/>
      <c r="P24" s="3"/>
      <c r="Q24" s="4"/>
      <c r="R24" s="3"/>
      <c r="S24" s="3"/>
      <c r="T24" s="3"/>
      <c r="U24" s="3"/>
      <c r="V24" s="3"/>
      <c r="W24" s="3"/>
      <c r="X24" s="3"/>
      <c r="Y24" s="3"/>
      <c r="Z24" s="3"/>
    </row>
    <row r="25" spans="1:26" ht="9.75" customHeight="1" x14ac:dyDescent="0.3">
      <c r="A25" s="4"/>
      <c r="B25" s="3"/>
      <c r="C25" s="3"/>
      <c r="D25" s="3"/>
      <c r="E25" s="3"/>
      <c r="F25" s="3"/>
      <c r="G25" s="3"/>
      <c r="H25" s="3"/>
      <c r="I25" s="3"/>
      <c r="J25" s="3"/>
      <c r="K25" s="3"/>
      <c r="L25" s="3"/>
      <c r="M25" s="3"/>
      <c r="N25" s="3"/>
      <c r="O25" s="3"/>
      <c r="P25" s="3"/>
      <c r="Q25" s="4"/>
      <c r="R25" s="3"/>
      <c r="S25" s="3"/>
      <c r="T25" s="3"/>
      <c r="U25" s="3"/>
      <c r="V25" s="3"/>
      <c r="W25" s="3"/>
      <c r="X25" s="3"/>
      <c r="Y25" s="3"/>
      <c r="Z25" s="3"/>
    </row>
    <row r="26" spans="1:26" ht="60" customHeight="1" x14ac:dyDescent="0.3">
      <c r="A26" s="4"/>
      <c r="B26" s="3"/>
      <c r="C26" s="166"/>
      <c r="D26" s="3"/>
      <c r="E26" s="167"/>
      <c r="F26" s="3"/>
      <c r="G26" s="167"/>
      <c r="H26" s="3"/>
      <c r="I26" s="167"/>
      <c r="J26" s="3"/>
      <c r="K26" s="167"/>
      <c r="L26" s="3"/>
      <c r="M26" s="167"/>
      <c r="N26" s="3"/>
      <c r="O26" s="167"/>
      <c r="P26" s="3"/>
      <c r="Q26" s="4"/>
      <c r="R26" s="3"/>
      <c r="S26" s="3"/>
      <c r="T26" s="3"/>
      <c r="U26" s="3"/>
      <c r="V26" s="3"/>
      <c r="W26" s="3"/>
      <c r="X26" s="3"/>
      <c r="Y26" s="3"/>
      <c r="Z26" s="3"/>
    </row>
    <row r="27" spans="1:26" ht="9.75" customHeight="1" x14ac:dyDescent="0.3">
      <c r="A27" s="4"/>
      <c r="B27" s="3"/>
      <c r="C27" s="3"/>
      <c r="D27" s="3"/>
      <c r="E27" s="3"/>
      <c r="F27" s="3"/>
      <c r="G27" s="3"/>
      <c r="H27" s="3"/>
      <c r="I27" s="3"/>
      <c r="J27" s="3"/>
      <c r="K27" s="3"/>
      <c r="L27" s="3"/>
      <c r="M27" s="3"/>
      <c r="N27" s="3"/>
      <c r="O27" s="3"/>
      <c r="P27" s="3"/>
      <c r="Q27" s="4"/>
      <c r="R27" s="3"/>
      <c r="S27" s="3"/>
      <c r="T27" s="3"/>
      <c r="U27" s="3"/>
      <c r="V27" s="3"/>
      <c r="W27" s="3"/>
      <c r="X27" s="3"/>
      <c r="Y27" s="3"/>
      <c r="Z27" s="3"/>
    </row>
    <row r="28" spans="1:26" ht="60" customHeight="1" x14ac:dyDescent="0.3">
      <c r="A28" s="4"/>
      <c r="B28" s="3"/>
      <c r="C28" s="166"/>
      <c r="D28" s="3"/>
      <c r="E28" s="167"/>
      <c r="F28" s="3"/>
      <c r="G28" s="167"/>
      <c r="H28" s="3"/>
      <c r="I28" s="167"/>
      <c r="J28" s="3"/>
      <c r="K28" s="167"/>
      <c r="L28" s="3"/>
      <c r="M28" s="167"/>
      <c r="N28" s="3"/>
      <c r="O28" s="167"/>
      <c r="P28" s="3"/>
      <c r="Q28" s="4"/>
      <c r="R28" s="3"/>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4"/>
      <c r="R29" s="3"/>
      <c r="S29" s="3"/>
      <c r="T29" s="3"/>
      <c r="U29" s="3"/>
      <c r="V29" s="3"/>
      <c r="W29" s="3"/>
      <c r="X29" s="3"/>
      <c r="Y29" s="3"/>
      <c r="Z29" s="3"/>
    </row>
    <row r="30" spans="1:26" ht="20.25" customHeight="1" x14ac:dyDescent="0.3">
      <c r="A30" s="4"/>
      <c r="B30" s="3"/>
      <c r="C30" s="339" t="s">
        <v>197</v>
      </c>
      <c r="D30" s="199"/>
      <c r="E30" s="199"/>
      <c r="F30" s="199"/>
      <c r="G30" s="199"/>
      <c r="H30" s="199"/>
      <c r="I30" s="199"/>
      <c r="J30" s="199"/>
      <c r="K30" s="199"/>
      <c r="L30" s="199"/>
      <c r="M30" s="199"/>
      <c r="N30" s="199"/>
      <c r="O30" s="200"/>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3"/>
      <c r="C32" s="169" t="s">
        <v>198</v>
      </c>
      <c r="D32" s="169"/>
      <c r="E32" s="169" t="s">
        <v>199</v>
      </c>
      <c r="F32" s="169"/>
      <c r="G32" s="169" t="s">
        <v>200</v>
      </c>
      <c r="H32" s="169"/>
      <c r="I32" s="169" t="s">
        <v>201</v>
      </c>
      <c r="J32" s="169"/>
      <c r="K32" s="3"/>
      <c r="L32" s="3"/>
      <c r="M32" s="3"/>
      <c r="N32" s="3"/>
      <c r="O32" s="3"/>
      <c r="P32" s="3"/>
      <c r="Q32" s="4"/>
      <c r="R32" s="3"/>
      <c r="S32" s="3"/>
      <c r="T32" s="3"/>
      <c r="U32" s="3"/>
      <c r="V32" s="3"/>
      <c r="W32" s="3"/>
      <c r="X32" s="3"/>
      <c r="Y32" s="3"/>
      <c r="Z32" s="3"/>
    </row>
    <row r="33" spans="1:26" ht="39.75" customHeight="1" x14ac:dyDescent="0.3">
      <c r="A33" s="4"/>
      <c r="B33" s="3"/>
      <c r="C33" s="166"/>
      <c r="D33" s="3"/>
      <c r="E33" s="166" t="s">
        <v>235</v>
      </c>
      <c r="F33" s="3"/>
      <c r="G33" s="166"/>
      <c r="H33" s="3"/>
      <c r="I33" s="166" t="s">
        <v>234</v>
      </c>
      <c r="J33" s="3"/>
      <c r="K33" s="3"/>
      <c r="L33" s="3"/>
      <c r="M33" s="3"/>
      <c r="N33" s="3"/>
      <c r="O33" s="3"/>
      <c r="P33" s="3"/>
      <c r="Q33" s="4"/>
      <c r="R33" s="3"/>
      <c r="S33" s="3"/>
      <c r="T33" s="3"/>
      <c r="U33" s="3"/>
      <c r="V33" s="3"/>
      <c r="W33" s="3"/>
      <c r="X33" s="3"/>
      <c r="Y33" s="3"/>
      <c r="Z33" s="3"/>
    </row>
    <row r="34" spans="1:26" ht="9.75"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9.75" customHeight="1" x14ac:dyDescent="0.3">
      <c r="A35" s="4"/>
      <c r="B35" s="4"/>
      <c r="C35" s="4"/>
      <c r="D35" s="4"/>
      <c r="E35" s="4"/>
      <c r="F35" s="4"/>
      <c r="G35" s="4"/>
      <c r="H35" s="4"/>
      <c r="I35" s="4"/>
      <c r="J35" s="4"/>
      <c r="K35" s="4"/>
      <c r="L35" s="4"/>
      <c r="M35" s="4"/>
      <c r="N35" s="4"/>
      <c r="O35" s="4"/>
      <c r="P35" s="4"/>
      <c r="Q35" s="4"/>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mergeCells count="6">
    <mergeCell ref="C30:O30"/>
    <mergeCell ref="B3:D5"/>
    <mergeCell ref="E4:G4"/>
    <mergeCell ref="I4:K4"/>
    <mergeCell ref="A7:Q7"/>
    <mergeCell ref="C9:O9"/>
  </mergeCells>
  <pageMargins left="0.25" right="0.25" top="0.75" bottom="0.75" header="0" footer="0"/>
  <pageSetup paperSize="9" orientation="portrait"/>
  <headerFooter>
    <oddFooter>&amp;L000000_x000D_#000000Public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vt:i4>
      </vt:variant>
    </vt:vector>
  </HeadingPairs>
  <TitlesOfParts>
    <vt:vector size="10" baseType="lpstr">
      <vt:lpstr>1. Résumé</vt:lpstr>
      <vt:lpstr>2. Contexte</vt:lpstr>
      <vt:lpstr>3. Dangers</vt:lpstr>
      <vt:lpstr>4. Vulnérabilité</vt:lpstr>
      <vt:lpstr>5. Capacité</vt:lpstr>
      <vt:lpstr>6. Cohésion, Inclusion, Connect</vt:lpstr>
      <vt:lpstr>7. Risque</vt:lpstr>
      <vt:lpstr>8. Analyse</vt:lpstr>
      <vt:lpstr>9. Plan d’action</vt:lpstr>
      <vt:lpstr>Hazards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dcterms:created xsi:type="dcterms:W3CDTF">2019-09-11T00:16:49Z</dcterms:created>
  <dcterms:modified xsi:type="dcterms:W3CDTF">2025-06-16T15:27:02Z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